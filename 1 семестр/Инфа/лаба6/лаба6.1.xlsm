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atutinVM\Desktop\Инфа\лаба6\"/>
    </mc:Choice>
  </mc:AlternateContent>
  <bookViews>
    <workbookView xWindow="0" yWindow="0" windowWidth="28800" windowHeight="12915" activeTab="4"/>
  </bookViews>
  <sheets>
    <sheet name="А3" sheetId="1" r:id="rId1"/>
    <sheet name="Справочник(лист1)" sheetId="2" r:id="rId2"/>
    <sheet name="Справочник(лист2)" sheetId="3" r:id="rId3"/>
    <sheet name="Справочник(лист3)" sheetId="4" r:id="rId4"/>
    <sheet name="Таблица 1" sheetId="6" r:id="rId5"/>
    <sheet name="Таблица 2" sheetId="7" r:id="rId6"/>
    <sheet name="макрос" sheetId="8" r:id="rId7"/>
    <sheet name="Лист2" sheetId="10" r:id="rId8"/>
  </sheets>
  <definedNames>
    <definedName name="_xlnm._FilterDatabase" localSheetId="4" hidden="1">'Таблица 1'!$C$3:$C$14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C9" i="6"/>
  <c r="C10" i="6"/>
  <c r="C11" i="6"/>
  <c r="C12" i="6"/>
  <c r="C13" i="6"/>
  <c r="C14" i="6"/>
  <c r="C3" i="6"/>
  <c r="A12" i="10"/>
  <c r="A20" i="10" s="1"/>
  <c r="A28" i="10" s="1"/>
  <c r="A36" i="10" s="1"/>
  <c r="A44" i="10" s="1"/>
  <c r="C2" i="10"/>
  <c r="F7" i="10" s="1"/>
  <c r="E8" i="10" l="1"/>
  <c r="F8" i="10"/>
  <c r="E5" i="10"/>
  <c r="F6" i="10"/>
  <c r="F5" i="10"/>
  <c r="E6" i="10"/>
  <c r="E29" i="10"/>
  <c r="E7" i="10"/>
  <c r="E30" i="10"/>
  <c r="C15" i="6" l="1"/>
  <c r="A12" i="8"/>
  <c r="A20" i="8" s="1"/>
  <c r="A28" i="8" s="1"/>
  <c r="A36" i="8" s="1"/>
  <c r="A44" i="8" s="1"/>
  <c r="C2" i="8"/>
  <c r="E30" i="8" s="1"/>
  <c r="F8" i="8" l="1"/>
  <c r="F7" i="8"/>
  <c r="E5" i="8"/>
  <c r="F5" i="8"/>
  <c r="E6" i="8"/>
  <c r="F6" i="8"/>
  <c r="E29" i="8"/>
  <c r="E8" i="8"/>
  <c r="E7" i="8"/>
  <c r="I20" i="3"/>
  <c r="C20" i="3"/>
  <c r="I12" i="3"/>
  <c r="I13" i="3"/>
  <c r="I14" i="3"/>
  <c r="I15" i="3"/>
  <c r="I16" i="3"/>
  <c r="I17" i="3"/>
  <c r="I11" i="3"/>
  <c r="H17" i="3"/>
  <c r="H12" i="3"/>
  <c r="H13" i="3"/>
  <c r="H14" i="3"/>
  <c r="H15" i="3"/>
  <c r="H16" i="3"/>
  <c r="H11" i="3"/>
  <c r="G12" i="3"/>
  <c r="G13" i="3"/>
  <c r="G14" i="3"/>
  <c r="G15" i="3"/>
  <c r="G16" i="3"/>
  <c r="G17" i="3"/>
  <c r="G11" i="3"/>
  <c r="F12" i="3"/>
  <c r="F13" i="3"/>
  <c r="F14" i="3"/>
  <c r="F15" i="3"/>
  <c r="F16" i="3"/>
  <c r="F17" i="3"/>
  <c r="F11" i="3"/>
  <c r="E12" i="3"/>
  <c r="E13" i="3"/>
  <c r="E14" i="3"/>
  <c r="E15" i="3"/>
  <c r="E16" i="3"/>
  <c r="E17" i="3"/>
  <c r="E11" i="3"/>
  <c r="D12" i="3"/>
  <c r="D13" i="3"/>
  <c r="D14" i="3"/>
  <c r="D15" i="3"/>
  <c r="D16" i="3"/>
  <c r="D17" i="3"/>
  <c r="D11" i="3"/>
  <c r="C28" i="1" l="1"/>
  <c r="B28" i="1"/>
  <c r="C12" i="1"/>
  <c r="C13" i="1"/>
  <c r="C14" i="1"/>
  <c r="C15" i="1"/>
  <c r="C16" i="1"/>
  <c r="C30" i="1" s="1"/>
  <c r="C17" i="1"/>
  <c r="C18" i="1"/>
  <c r="C19" i="1"/>
  <c r="C20" i="1"/>
  <c r="C21" i="1"/>
  <c r="C22" i="1"/>
  <c r="C23" i="1"/>
  <c r="C24" i="1"/>
  <c r="C25" i="1"/>
  <c r="C26" i="1"/>
  <c r="C27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12" i="1"/>
  <c r="C29" i="1" l="1"/>
  <c r="B30" i="1"/>
  <c r="B29" i="1"/>
  <c r="C11" i="1"/>
  <c r="B11" i="1"/>
</calcChain>
</file>

<file path=xl/sharedStrings.xml><?xml version="1.0" encoding="utf-8"?>
<sst xmlns="http://schemas.openxmlformats.org/spreadsheetml/2006/main" count="196" uniqueCount="102">
  <si>
    <t>Минимальное значение аргумента:</t>
  </si>
  <si>
    <t>Максимальное значение аргумента:</t>
  </si>
  <si>
    <t xml:space="preserve">Шаг изменения аргумента </t>
  </si>
  <si>
    <t xml:space="preserve">Икомое значение </t>
  </si>
  <si>
    <t xml:space="preserve">Расчет выражения на заданном интервале </t>
  </si>
  <si>
    <t>Аргумент Х</t>
  </si>
  <si>
    <t xml:space="preserve">Значение выражения </t>
  </si>
  <si>
    <t>При А=1</t>
  </si>
  <si>
    <t>При А=10</t>
  </si>
  <si>
    <t xml:space="preserve">Минимальное значение выражения </t>
  </si>
  <si>
    <t xml:space="preserve">Количество искомых значений </t>
  </si>
  <si>
    <t xml:space="preserve">Максимальное значение выражения </t>
  </si>
  <si>
    <t>"Справочник"</t>
  </si>
  <si>
    <t>Лист 1:</t>
  </si>
  <si>
    <t xml:space="preserve">Данные предприятия </t>
  </si>
  <si>
    <t xml:space="preserve">Название </t>
  </si>
  <si>
    <t>Директор</t>
  </si>
  <si>
    <t>Гл бугалтер</t>
  </si>
  <si>
    <t xml:space="preserve">Торговая наценка </t>
  </si>
  <si>
    <t>Налог НДС</t>
  </si>
  <si>
    <t>Налог НП</t>
  </si>
  <si>
    <t>Курс доллара(руб)</t>
  </si>
  <si>
    <t>Параметр</t>
  </si>
  <si>
    <t xml:space="preserve">Значение </t>
  </si>
  <si>
    <t>ТФ ООО"Новый век"</t>
  </si>
  <si>
    <t>Иванов С.П</t>
  </si>
  <si>
    <t>Сидорова М.П</t>
  </si>
  <si>
    <t>Дата актуальности данных:</t>
  </si>
  <si>
    <t>Лист 2:</t>
  </si>
  <si>
    <t xml:space="preserve">Расчет стоимость товара </t>
  </si>
  <si>
    <t>Ͳ† 000 "Новый век"</t>
  </si>
  <si>
    <t>№ п/п</t>
  </si>
  <si>
    <t xml:space="preserve">Наименование товара </t>
  </si>
  <si>
    <t xml:space="preserve">Размер налогов </t>
  </si>
  <si>
    <t xml:space="preserve">Окончательная стоимость </t>
  </si>
  <si>
    <t xml:space="preserve">Калькуляция (расчет) стоимости товара </t>
  </si>
  <si>
    <t>в у.е.</t>
  </si>
  <si>
    <t>в руб.</t>
  </si>
  <si>
    <t>торговая наценка</t>
  </si>
  <si>
    <t>Итого</t>
  </si>
  <si>
    <t>НДС</t>
  </si>
  <si>
    <t>НП</t>
  </si>
  <si>
    <t>I</t>
  </si>
  <si>
    <t>II</t>
  </si>
  <si>
    <t>III</t>
  </si>
  <si>
    <t>IV</t>
  </si>
  <si>
    <t>V</t>
  </si>
  <si>
    <t>VI</t>
  </si>
  <si>
    <t>VII</t>
  </si>
  <si>
    <t>IX</t>
  </si>
  <si>
    <t>Ваза "Бригантина"</t>
  </si>
  <si>
    <t>Кашпо "Бриз"</t>
  </si>
  <si>
    <t>Подставка для цветов 100см</t>
  </si>
  <si>
    <t xml:space="preserve">Набор керамическихгоршков для кактусов </t>
  </si>
  <si>
    <t>Кашпо "Кубики"</t>
  </si>
  <si>
    <t>Пиала искуственная 4 м</t>
  </si>
  <si>
    <r>
      <t>Водопад декоративный 3м</t>
    </r>
    <r>
      <rPr>
        <sz val="11"/>
        <color theme="1"/>
        <rFont val="Calibri"/>
        <family val="2"/>
        <charset val="204"/>
      </rPr>
      <t>′</t>
    </r>
  </si>
  <si>
    <t>Дикертор :___________________________________</t>
  </si>
  <si>
    <t>Гл. бухгалтер:____________________________</t>
  </si>
  <si>
    <t>Стоимость без налогов</t>
  </si>
  <si>
    <t>Лист 3:</t>
  </si>
  <si>
    <t>Наименование товара</t>
  </si>
  <si>
    <t>Цена руб/шт</t>
  </si>
  <si>
    <t>Крыло левое заднее</t>
  </si>
  <si>
    <t>Глушитель</t>
  </si>
  <si>
    <t>Капот</t>
  </si>
  <si>
    <t>Крышка багажника</t>
  </si>
  <si>
    <t>Шкиф коленчатого вала</t>
  </si>
  <si>
    <t>Фильтр масляный</t>
  </si>
  <si>
    <t>Зеркало левое</t>
  </si>
  <si>
    <t>Фильтр воздушный</t>
  </si>
  <si>
    <t>Бампер передний</t>
  </si>
  <si>
    <t>Радиатор</t>
  </si>
  <si>
    <t>Бампер задний</t>
  </si>
  <si>
    <t>Проушина буксирная</t>
  </si>
  <si>
    <t>Количество, шт</t>
  </si>
  <si>
    <t>Итоговая цена</t>
  </si>
  <si>
    <t>Дверь правая передняя</t>
  </si>
  <si>
    <t>Шкив коленчатого вала</t>
  </si>
  <si>
    <t>Дверь левая передняя</t>
  </si>
  <si>
    <t>Таблица 1:</t>
  </si>
  <si>
    <t>Таблица 2:</t>
  </si>
  <si>
    <t>Семестр</t>
  </si>
  <si>
    <t>Осенний</t>
  </si>
  <si>
    <t>Неделя</t>
  </si>
  <si>
    <t>Дата</t>
  </si>
  <si>
    <t>День недели</t>
  </si>
  <si>
    <t>Начало пары</t>
  </si>
  <si>
    <t>Конец пары</t>
  </si>
  <si>
    <t>Дисциплина</t>
  </si>
  <si>
    <t>Аудитория</t>
  </si>
  <si>
    <t>Понедельник</t>
  </si>
  <si>
    <t>Вторник</t>
  </si>
  <si>
    <t>Физика (лек.)</t>
  </si>
  <si>
    <t>Физика (прак.)</t>
  </si>
  <si>
    <t>Среда</t>
  </si>
  <si>
    <t>Математика (лек.)</t>
  </si>
  <si>
    <t>Иностранный язык (прак.)</t>
  </si>
  <si>
    <t>Математика (прак.)</t>
  </si>
  <si>
    <t>Четверг</t>
  </si>
  <si>
    <t>Пятница</t>
  </si>
  <si>
    <t>Суббота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</si>
</sst>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4" tint="-0.249977111117893"/>
      <name val="Calibri"/>
      <family val="2"/>
      <charset val="204"/>
      <scheme val="minor"/>
    </font>
    <font>
      <sz val="11"/>
      <color rgb="FFFF66CC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gray0625">
        <fgColor theme="1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Dashed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Dashed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1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4" fontId="0" fillId="0" borderId="14" xfId="0" applyNumberFormat="1" applyBorder="1"/>
    <xf numFmtId="164" fontId="0" fillId="0" borderId="15" xfId="0" applyNumberFormat="1" applyBorder="1"/>
    <xf numFmtId="164" fontId="0" fillId="0" borderId="6" xfId="0" applyNumberFormat="1" applyBorder="1"/>
    <xf numFmtId="1" fontId="0" fillId="0" borderId="0" xfId="0" applyNumberFormat="1"/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9" fontId="0" fillId="0" borderId="9" xfId="0" applyNumberFormat="1" applyBorder="1" applyAlignment="1">
      <alignment horizontal="right"/>
    </xf>
    <xf numFmtId="2" fontId="0" fillId="0" borderId="12" xfId="0" applyNumberFormat="1" applyBorder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2" fontId="4" fillId="0" borderId="1" xfId="0" applyNumberFormat="1" applyFont="1" applyBorder="1" applyAlignment="1">
      <alignment horizontal="right" vertical="center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2" xfId="0" applyBorder="1" applyAlignment="1">
      <alignment horizontal="left"/>
    </xf>
    <xf numFmtId="0" fontId="4" fillId="0" borderId="25" xfId="0" applyFont="1" applyBorder="1" applyAlignment="1">
      <alignment horizontal="center" vertical="center"/>
    </xf>
    <xf numFmtId="0" fontId="0" fillId="0" borderId="18" xfId="0" applyBorder="1" applyAlignment="1">
      <alignment horizontal="right"/>
    </xf>
    <xf numFmtId="2" fontId="4" fillId="0" borderId="26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right" vertical="center"/>
    </xf>
    <xf numFmtId="2" fontId="4" fillId="0" borderId="19" xfId="0" applyNumberFormat="1" applyFont="1" applyBorder="1" applyAlignment="1">
      <alignment horizontal="right" vertical="center"/>
    </xf>
    <xf numFmtId="2" fontId="4" fillId="0" borderId="8" xfId="0" applyNumberFormat="1" applyFont="1" applyBorder="1" applyAlignment="1">
      <alignment horizontal="right" vertical="center"/>
    </xf>
    <xf numFmtId="2" fontId="4" fillId="0" borderId="9" xfId="0" applyNumberFormat="1" applyFont="1" applyBorder="1" applyAlignment="1">
      <alignment horizontal="right" vertical="center"/>
    </xf>
    <xf numFmtId="2" fontId="4" fillId="0" borderId="10" xfId="0" applyNumberFormat="1" applyFont="1" applyBorder="1" applyAlignment="1">
      <alignment horizontal="right" vertical="center"/>
    </xf>
    <xf numFmtId="2" fontId="4" fillId="0" borderId="11" xfId="0" applyNumberFormat="1" applyFont="1" applyBorder="1" applyAlignment="1">
      <alignment horizontal="right" vertical="center"/>
    </xf>
    <xf numFmtId="2" fontId="4" fillId="0" borderId="12" xfId="0" applyNumberFormat="1" applyFont="1" applyBorder="1" applyAlignment="1">
      <alignment horizontal="right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right" vertical="center"/>
    </xf>
    <xf numFmtId="2" fontId="5" fillId="0" borderId="19" xfId="0" applyNumberFormat="1" applyFont="1" applyBorder="1" applyAlignment="1">
      <alignment horizontal="right" vertical="center"/>
    </xf>
    <xf numFmtId="2" fontId="5" fillId="0" borderId="8" xfId="0" applyNumberFormat="1" applyFont="1" applyBorder="1" applyAlignment="1">
      <alignment horizontal="right" vertical="center"/>
    </xf>
    <xf numFmtId="2" fontId="5" fillId="0" borderId="9" xfId="0" applyNumberFormat="1" applyFont="1" applyBorder="1" applyAlignment="1">
      <alignment horizontal="right" vertical="center"/>
    </xf>
    <xf numFmtId="2" fontId="5" fillId="0" borderId="10" xfId="0" applyNumberFormat="1" applyFont="1" applyBorder="1" applyAlignment="1">
      <alignment horizontal="right" vertical="center"/>
    </xf>
    <xf numFmtId="2" fontId="5" fillId="0" borderId="12" xfId="0" applyNumberFormat="1" applyFont="1" applyBorder="1" applyAlignment="1">
      <alignment horizontal="right" vertical="center"/>
    </xf>
    <xf numFmtId="0" fontId="0" fillId="0" borderId="22" xfId="0" applyBorder="1" applyAlignment="1">
      <alignment horizontal="center" vertical="center"/>
    </xf>
    <xf numFmtId="2" fontId="0" fillId="0" borderId="30" xfId="0" applyNumberFormat="1" applyBorder="1" applyAlignment="1">
      <alignment horizontal="right" vertical="center"/>
    </xf>
    <xf numFmtId="2" fontId="0" fillId="0" borderId="31" xfId="0" applyNumberFormat="1" applyBorder="1" applyAlignment="1">
      <alignment horizontal="right" vertical="center"/>
    </xf>
    <xf numFmtId="2" fontId="0" fillId="0" borderId="32" xfId="0" applyNumberFormat="1" applyBorder="1" applyAlignment="1">
      <alignment horizontal="right" vertical="center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right"/>
    </xf>
    <xf numFmtId="0" fontId="1" fillId="0" borderId="1" xfId="0" applyFont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6" fillId="2" borderId="1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20" fontId="0" fillId="0" borderId="39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0" fontId="0" fillId="0" borderId="2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20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 textRotation="90"/>
    </xf>
    <xf numFmtId="14" fontId="0" fillId="0" borderId="38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39" xfId="0" applyBorder="1" applyAlignment="1">
      <alignment horizontal="center" vertical="center" textRotation="90"/>
    </xf>
    <xf numFmtId="14" fontId="0" fillId="0" borderId="16" xfId="0" applyNumberFormat="1" applyBorder="1" applyAlignment="1">
      <alignment horizontal="center" vertical="center" textRotation="90"/>
    </xf>
    <xf numFmtId="0" fontId="0" fillId="0" borderId="16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0" fontId="0" fillId="0" borderId="41" xfId="0" applyBorder="1" applyAlignment="1">
      <alignment horizontal="center" vertical="center" textRotation="90"/>
    </xf>
    <xf numFmtId="0" fontId="0" fillId="0" borderId="42" xfId="0" applyBorder="1" applyAlignment="1">
      <alignment horizontal="center" vertical="center" textRotation="90"/>
    </xf>
  </cellXfs>
  <cellStyles count="1">
    <cellStyle name="Обычный" xfId="0" builtinId="0"/>
  </cellStyles>
  <dxfs count="1">
    <dxf>
      <font>
        <color rgb="FFC00000"/>
      </font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Ваза "Бригантина"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77D-4195-9B00-C8F2C427B58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77D-4195-9B00-C8F2C427B5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77D-4195-9B00-C8F2C427B58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77D-4195-9B00-C8F2C427B583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0633E2DC-7E5F-4260-812E-DED57D032BAD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1EDC0DD-0D8A-4180-81FB-955A08E65A10}" type="PERCENTAGE">
                      <a:rPr lang="en-US" baseline="0"/>
                      <a:pPr/>
                      <a:t>[ПРОЦЕНТ]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7D-4195-9B00-C8F2C427B583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B2A1CF76-194E-460B-8EAF-E61D4C0F3F5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24CA84C-248D-4276-A559-87E64F33CF37}" type="PERCENTAGE">
                      <a:rPr lang="en-US" baseline="0"/>
                      <a:pPr/>
                      <a:t>[ПРОЦЕНТ]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7D-4195-9B00-C8F2C427B583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1CD0372-7061-4506-9952-A8263AABC6E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A585F55-87ED-4113-B21E-72544C2EA39E}" type="PERCENTAGE">
                      <a:rPr lang="en-US" baseline="0"/>
                      <a:pPr/>
                      <a:t>[ПРОЦЕНТ]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7D-4195-9B00-C8F2C427B583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4D3CD8D3-596E-46FE-8A62-7E542EEBFF1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EC5812A-82B7-43A9-B25D-640035AB7E72}" type="PERCENTAGE">
                      <a:rPr lang="en-US" baseline="0"/>
                      <a:pPr/>
                      <a:t>[ПРОЦЕНТ]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D-4195-9B00-C8F2C427B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  <c15:showDataLabelsRange val="1"/>
              </c:ext>
            </c:extLst>
          </c:dLbls>
          <c:cat>
            <c:strRef>
              <c:f>('Справочник(лист2)'!$C$9,'Справочник(лист2)'!$D$9,'Справочник(лист2)'!$G$9,'Справочник(лист2)'!$H$9)</c:f>
              <c:strCache>
                <c:ptCount val="4"/>
                <c:pt idx="0">
                  <c:v>в у.е.</c:v>
                </c:pt>
                <c:pt idx="1">
                  <c:v>в руб.</c:v>
                </c:pt>
                <c:pt idx="2">
                  <c:v>НДС</c:v>
                </c:pt>
                <c:pt idx="3">
                  <c:v>НП</c:v>
                </c:pt>
              </c:strCache>
            </c:strRef>
          </c:cat>
          <c:val>
            <c:numRef>
              <c:f>('Справочник(лист2)'!$D$11:$E$11,'Справочник(лист2)'!$G$11:$H$11)</c:f>
              <c:numCache>
                <c:formatCode>0.00</c:formatCode>
                <c:ptCount val="4"/>
                <c:pt idx="0">
                  <c:v>600</c:v>
                </c:pt>
                <c:pt idx="1">
                  <c:v>180</c:v>
                </c:pt>
                <c:pt idx="2">
                  <c:v>156</c:v>
                </c:pt>
                <c:pt idx="3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('Справочник(лист2)'!$C$9,'Справочник(лист2)'!$D$9,'Справочник(лист2)'!$G$9,'Справочник(лист2)'!$H$9)</c15:f>
                <c15:dlblRangeCache>
                  <c:ptCount val="4"/>
                  <c:pt idx="0">
                    <c:v>в у.е.</c:v>
                  </c:pt>
                  <c:pt idx="1">
                    <c:v>в руб.</c:v>
                  </c:pt>
                  <c:pt idx="2">
                    <c:v>НДС</c:v>
                  </c:pt>
                  <c:pt idx="3">
                    <c:v>НП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90C-4C39-8025-D074575DB77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5400000" vert="horz"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</xdr:colOff>
      <xdr:row>0</xdr:row>
      <xdr:rowOff>0</xdr:rowOff>
    </xdr:from>
    <xdr:to>
      <xdr:col>9</xdr:col>
      <xdr:colOff>114300</xdr:colOff>
      <xdr:row>15</xdr:row>
      <xdr:rowOff>38100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C31"/>
  <sheetViews>
    <sheetView workbookViewId="0">
      <selection activeCell="B13" sqref="B13"/>
    </sheetView>
  </sheetViews>
  <sheetFormatPr defaultRowHeight="15" x14ac:dyDescent="0.25"/>
  <cols>
    <col min="1" max="1" width="34.5703125" customWidth="1"/>
    <col min="2" max="2" width="27.42578125" customWidth="1"/>
    <col min="3" max="3" width="16.28515625" customWidth="1"/>
  </cols>
  <sheetData>
    <row r="2" spans="1:3" ht="15.75" thickBot="1" x14ac:dyDescent="0.3">
      <c r="A2" s="91" t="s">
        <v>0</v>
      </c>
      <c r="B2" s="91"/>
      <c r="C2" s="13">
        <v>-8</v>
      </c>
    </row>
    <row r="3" spans="1:3" ht="15.75" thickBot="1" x14ac:dyDescent="0.3">
      <c r="A3" s="91" t="s">
        <v>1</v>
      </c>
      <c r="B3" s="91"/>
      <c r="C3" s="14">
        <v>8</v>
      </c>
    </row>
    <row r="4" spans="1:3" ht="15.75" thickBot="1" x14ac:dyDescent="0.3">
      <c r="A4" s="91" t="s">
        <v>2</v>
      </c>
      <c r="B4" s="91"/>
      <c r="C4" s="14">
        <v>1</v>
      </c>
    </row>
    <row r="5" spans="1:3" x14ac:dyDescent="0.25">
      <c r="A5" s="1"/>
      <c r="B5" s="1" t="s">
        <v>3</v>
      </c>
      <c r="C5" s="15">
        <v>2.6</v>
      </c>
    </row>
    <row r="7" spans="1:3" x14ac:dyDescent="0.25">
      <c r="A7" s="92" t="s">
        <v>4</v>
      </c>
      <c r="B7" s="93"/>
      <c r="C7" s="93"/>
    </row>
    <row r="8" spans="1:3" ht="15.75" thickBot="1" x14ac:dyDescent="0.3">
      <c r="A8" s="2"/>
      <c r="B8" s="2"/>
      <c r="C8" s="2"/>
    </row>
    <row r="9" spans="1:3" x14ac:dyDescent="0.25">
      <c r="A9" s="94" t="s">
        <v>5</v>
      </c>
      <c r="B9" s="96" t="s">
        <v>6</v>
      </c>
      <c r="C9" s="97"/>
    </row>
    <row r="10" spans="1:3" ht="15.75" thickBot="1" x14ac:dyDescent="0.3">
      <c r="A10" s="95"/>
      <c r="B10" s="8" t="s">
        <v>7</v>
      </c>
      <c r="C10" s="9" t="s">
        <v>8</v>
      </c>
    </row>
    <row r="11" spans="1:3" ht="15.75" thickBot="1" x14ac:dyDescent="0.3">
      <c r="A11" s="10">
        <v>-8</v>
      </c>
      <c r="B11" s="16">
        <f>SQRT(IMABS((A11/1)+(1*SIN(A11)*SIN(A11))))</f>
        <v>2.6497490937517667</v>
      </c>
      <c r="C11" s="17">
        <f>SQRT(IMABS((A11/10)+(10*SIN(A11)*SIN(A11))))</f>
        <v>2.9980489324920838</v>
      </c>
    </row>
    <row r="12" spans="1:3" ht="15.75" thickBot="1" x14ac:dyDescent="0.3">
      <c r="A12" s="11">
        <v>-7</v>
      </c>
      <c r="B12" s="16">
        <f>SQRT(IMABS((A12/1)+(1*SIN(A12)*SIN(A12))))</f>
        <v>2.5628828707344229</v>
      </c>
      <c r="C12" s="17">
        <f t="shared" ref="C12:C27" si="0">SQRT(IMABS((A12/10)+(10*SIN(A12)*SIN(A12))))</f>
        <v>1.901660829107239</v>
      </c>
    </row>
    <row r="13" spans="1:3" ht="15.75" thickBot="1" x14ac:dyDescent="0.3">
      <c r="A13" s="11">
        <v>-6</v>
      </c>
      <c r="B13" s="16">
        <f t="shared" ref="B13:B27" si="1">SQRT(IMABS((A13/1)+(1*SIN(A13)*SIN(A13))))</f>
        <v>2.4335009717208345</v>
      </c>
      <c r="C13" s="17">
        <f t="shared" si="0"/>
        <v>0.42512375414406034</v>
      </c>
    </row>
    <row r="14" spans="1:3" ht="15.75" thickBot="1" x14ac:dyDescent="0.3">
      <c r="A14" s="11">
        <v>-5</v>
      </c>
      <c r="B14" s="16">
        <f t="shared" si="1"/>
        <v>2.0200158998042004</v>
      </c>
      <c r="C14" s="17">
        <f t="shared" si="0"/>
        <v>2.9487891829329311</v>
      </c>
    </row>
    <row r="15" spans="1:3" ht="15.75" thickBot="1" x14ac:dyDescent="0.3">
      <c r="A15" s="11">
        <v>-4</v>
      </c>
      <c r="B15" s="16">
        <f t="shared" si="1"/>
        <v>1.8512833340944042</v>
      </c>
      <c r="C15" s="17">
        <f t="shared" si="0"/>
        <v>2.3081378141356872</v>
      </c>
    </row>
    <row r="16" spans="1:3" ht="15.75" thickBot="1" x14ac:dyDescent="0.3">
      <c r="A16" s="11">
        <v>-3</v>
      </c>
      <c r="B16" s="16">
        <f t="shared" si="1"/>
        <v>1.7262923110890529</v>
      </c>
      <c r="C16" s="17">
        <f t="shared" si="0"/>
        <v>0.31757114675585707</v>
      </c>
    </row>
    <row r="17" spans="1:3" ht="15.75" thickBot="1" x14ac:dyDescent="0.3">
      <c r="A17" s="11">
        <v>-2</v>
      </c>
      <c r="B17" s="16">
        <f t="shared" si="1"/>
        <v>1.0831335049605815</v>
      </c>
      <c r="C17" s="17">
        <f t="shared" si="0"/>
        <v>2.8404608964599496</v>
      </c>
    </row>
    <row r="18" spans="1:3" ht="15.75" thickBot="1" x14ac:dyDescent="0.3">
      <c r="A18" s="11">
        <v>-1</v>
      </c>
      <c r="B18" s="16">
        <f t="shared" si="1"/>
        <v>0.54030230586813977</v>
      </c>
      <c r="C18" s="17">
        <f t="shared" si="0"/>
        <v>2.6421079052029106</v>
      </c>
    </row>
    <row r="19" spans="1:3" ht="15.75" thickBot="1" x14ac:dyDescent="0.3">
      <c r="A19" s="11">
        <v>0</v>
      </c>
      <c r="B19" s="16">
        <f t="shared" si="1"/>
        <v>0</v>
      </c>
      <c r="C19" s="17">
        <f t="shared" si="0"/>
        <v>0</v>
      </c>
    </row>
    <row r="20" spans="1:3" ht="15.75" thickBot="1" x14ac:dyDescent="0.3">
      <c r="A20" s="11">
        <v>1</v>
      </c>
      <c r="B20" s="16">
        <f t="shared" si="1"/>
        <v>1.3069328285239341</v>
      </c>
      <c r="C20" s="17">
        <f t="shared" si="0"/>
        <v>2.6796891951746402</v>
      </c>
    </row>
    <row r="21" spans="1:3" ht="15.75" thickBot="1" x14ac:dyDescent="0.3">
      <c r="A21" s="11">
        <v>2</v>
      </c>
      <c r="B21" s="16">
        <f t="shared" si="1"/>
        <v>1.6813154999677502</v>
      </c>
      <c r="C21" s="17">
        <f t="shared" si="0"/>
        <v>2.9100202927673995</v>
      </c>
    </row>
    <row r="22" spans="1:3" ht="15.75" thickBot="1" x14ac:dyDescent="0.3">
      <c r="A22" s="11">
        <v>3</v>
      </c>
      <c r="B22" s="16">
        <f t="shared" si="1"/>
        <v>1.7377902222865731</v>
      </c>
      <c r="C22" s="17">
        <f t="shared" si="0"/>
        <v>0.70650447043749831</v>
      </c>
    </row>
    <row r="23" spans="1:3" ht="15.75" thickBot="1" x14ac:dyDescent="0.3">
      <c r="A23" s="11">
        <v>4</v>
      </c>
      <c r="B23" s="16">
        <f t="shared" si="1"/>
        <v>2.1383989377345629</v>
      </c>
      <c r="C23" s="17">
        <f t="shared" si="0"/>
        <v>2.4753787930422018</v>
      </c>
    </row>
    <row r="24" spans="1:3" ht="15.75" thickBot="1" x14ac:dyDescent="0.3">
      <c r="A24" s="11">
        <v>5</v>
      </c>
      <c r="B24" s="16">
        <f t="shared" si="1"/>
        <v>2.4330096104492118</v>
      </c>
      <c r="C24" s="17">
        <f t="shared" si="0"/>
        <v>3.113736926168019</v>
      </c>
    </row>
    <row r="25" spans="1:3" ht="15.75" thickBot="1" x14ac:dyDescent="0.3">
      <c r="A25" s="11">
        <v>6</v>
      </c>
      <c r="B25" s="16">
        <f t="shared" si="1"/>
        <v>2.4653748235580233</v>
      </c>
      <c r="C25" s="17">
        <f t="shared" si="0"/>
        <v>1.1750447678014397</v>
      </c>
    </row>
    <row r="26" spans="1:3" ht="15.75" thickBot="1" x14ac:dyDescent="0.3">
      <c r="A26" s="11">
        <v>7</v>
      </c>
      <c r="B26" s="16">
        <f t="shared" si="1"/>
        <v>2.7261018672999149</v>
      </c>
      <c r="C26" s="17">
        <f t="shared" si="0"/>
        <v>2.2397129077095643</v>
      </c>
    </row>
    <row r="27" spans="1:3" ht="15.75" thickBot="1" x14ac:dyDescent="0.3">
      <c r="A27" s="12">
        <v>8</v>
      </c>
      <c r="B27" s="16">
        <f t="shared" si="1"/>
        <v>2.9964695460093855</v>
      </c>
      <c r="C27" s="17">
        <f t="shared" si="0"/>
        <v>3.2539664106466932</v>
      </c>
    </row>
    <row r="28" spans="1:3" ht="20.25" customHeight="1" x14ac:dyDescent="0.25">
      <c r="A28" s="3" t="s">
        <v>11</v>
      </c>
      <c r="B28" s="18">
        <f>MAX(B11:B27)</f>
        <v>2.9964695460093855</v>
      </c>
      <c r="C28" s="18">
        <f>MAX(C11:C27)</f>
        <v>3.2539664106466932</v>
      </c>
    </row>
    <row r="29" spans="1:3" x14ac:dyDescent="0.25">
      <c r="A29" s="4" t="s">
        <v>9</v>
      </c>
      <c r="B29" s="5">
        <f>MIN(B11:B27)</f>
        <v>0</v>
      </c>
      <c r="C29" s="5">
        <f>MIN(C11:C27)</f>
        <v>0</v>
      </c>
    </row>
    <row r="30" spans="1:3" ht="15.75" thickBot="1" x14ac:dyDescent="0.3">
      <c r="A30" s="6" t="s">
        <v>10</v>
      </c>
      <c r="B30" s="7">
        <f>COUNT(B11:B27)</f>
        <v>17</v>
      </c>
      <c r="C30" s="7">
        <f>COUNT(C11:C27)</f>
        <v>17</v>
      </c>
    </row>
    <row r="31" spans="1:3" x14ac:dyDescent="0.25">
      <c r="A31" s="2"/>
    </row>
  </sheetData>
  <mergeCells count="6">
    <mergeCell ref="A2:B2"/>
    <mergeCell ref="A3:B3"/>
    <mergeCell ref="A4:B4"/>
    <mergeCell ref="A7:C7"/>
    <mergeCell ref="A9:A10"/>
    <mergeCell ref="B9:C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F15"/>
  <sheetViews>
    <sheetView workbookViewId="0">
      <selection activeCell="G21" sqref="G21"/>
    </sheetView>
  </sheetViews>
  <sheetFormatPr defaultRowHeight="15" x14ac:dyDescent="0.25"/>
  <cols>
    <col min="1" max="1" width="17.7109375" customWidth="1"/>
    <col min="2" max="2" width="19.5703125" customWidth="1"/>
  </cols>
  <sheetData>
    <row r="2" spans="1:6" x14ac:dyDescent="0.25">
      <c r="A2" s="27" t="s">
        <v>13</v>
      </c>
      <c r="B2" s="27" t="s">
        <v>12</v>
      </c>
    </row>
    <row r="4" spans="1:6" x14ac:dyDescent="0.25">
      <c r="A4" s="98" t="s">
        <v>14</v>
      </c>
      <c r="B4" s="98"/>
    </row>
    <row r="5" spans="1:6" ht="15.75" thickBot="1" x14ac:dyDescent="0.3"/>
    <row r="6" spans="1:6" ht="15.75" thickBot="1" x14ac:dyDescent="0.3">
      <c r="A6" s="29" t="s">
        <v>22</v>
      </c>
      <c r="B6" s="30" t="s">
        <v>23</v>
      </c>
    </row>
    <row r="7" spans="1:6" x14ac:dyDescent="0.25">
      <c r="A7" s="20" t="s">
        <v>15</v>
      </c>
      <c r="B7" s="21" t="s">
        <v>24</v>
      </c>
      <c r="F7" s="19"/>
    </row>
    <row r="8" spans="1:6" x14ac:dyDescent="0.25">
      <c r="A8" s="22" t="s">
        <v>16</v>
      </c>
      <c r="B8" s="23" t="s">
        <v>25</v>
      </c>
    </row>
    <row r="9" spans="1:6" x14ac:dyDescent="0.25">
      <c r="A9" s="22" t="s">
        <v>17</v>
      </c>
      <c r="B9" s="23" t="s">
        <v>26</v>
      </c>
    </row>
    <row r="10" spans="1:6" x14ac:dyDescent="0.25">
      <c r="A10" s="22" t="s">
        <v>18</v>
      </c>
      <c r="B10" s="25">
        <v>0.3</v>
      </c>
    </row>
    <row r="11" spans="1:6" x14ac:dyDescent="0.25">
      <c r="A11" s="22" t="s">
        <v>19</v>
      </c>
      <c r="B11" s="25">
        <v>0.2</v>
      </c>
    </row>
    <row r="12" spans="1:6" x14ac:dyDescent="0.25">
      <c r="A12" s="22" t="s">
        <v>20</v>
      </c>
      <c r="B12" s="25">
        <v>0.05</v>
      </c>
    </row>
    <row r="13" spans="1:6" ht="15.75" thickBot="1" x14ac:dyDescent="0.3">
      <c r="A13" s="24" t="s">
        <v>21</v>
      </c>
      <c r="B13" s="26">
        <v>30</v>
      </c>
    </row>
    <row r="15" spans="1:6" x14ac:dyDescent="0.25">
      <c r="A15" s="27" t="s">
        <v>27</v>
      </c>
      <c r="B15" s="28">
        <v>37386</v>
      </c>
    </row>
  </sheetData>
  <mergeCells count="1">
    <mergeCell ref="A4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I20"/>
  <sheetViews>
    <sheetView view="pageLayout" topLeftCell="A4" zoomScaleNormal="100" workbookViewId="0">
      <selection activeCell="F29" sqref="F28:F29"/>
    </sheetView>
  </sheetViews>
  <sheetFormatPr defaultRowHeight="15" x14ac:dyDescent="0.25"/>
  <cols>
    <col min="2" max="2" width="39.7109375" customWidth="1"/>
    <col min="5" max="5" width="16.5703125" customWidth="1"/>
    <col min="9" max="9" width="24.7109375" customWidth="1"/>
  </cols>
  <sheetData>
    <row r="2" spans="1:9" x14ac:dyDescent="0.25">
      <c r="A2" s="32" t="s">
        <v>28</v>
      </c>
      <c r="B2" s="32" t="s">
        <v>29</v>
      </c>
    </row>
    <row r="3" spans="1:9" x14ac:dyDescent="0.25">
      <c r="A3" s="32"/>
      <c r="B3" s="32"/>
    </row>
    <row r="4" spans="1:9" x14ac:dyDescent="0.25">
      <c r="A4" s="102" t="s">
        <v>30</v>
      </c>
      <c r="B4" s="103"/>
    </row>
    <row r="6" spans="1:9" x14ac:dyDescent="0.25">
      <c r="A6" s="98" t="s">
        <v>35</v>
      </c>
      <c r="B6" s="98"/>
      <c r="C6" s="98"/>
      <c r="D6" s="98"/>
      <c r="E6" s="98"/>
      <c r="F6" s="98"/>
      <c r="G6" s="98"/>
      <c r="H6" s="98"/>
      <c r="I6" s="98"/>
    </row>
    <row r="7" spans="1:9" ht="15.75" thickBot="1" x14ac:dyDescent="0.3"/>
    <row r="8" spans="1:9" x14ac:dyDescent="0.25">
      <c r="A8" s="94" t="s">
        <v>31</v>
      </c>
      <c r="B8" s="97" t="s">
        <v>32</v>
      </c>
      <c r="C8" s="94" t="s">
        <v>59</v>
      </c>
      <c r="D8" s="96"/>
      <c r="E8" s="96"/>
      <c r="F8" s="97"/>
      <c r="G8" s="94" t="s">
        <v>33</v>
      </c>
      <c r="H8" s="97"/>
      <c r="I8" s="99" t="s">
        <v>34</v>
      </c>
    </row>
    <row r="9" spans="1:9" ht="15.75" thickBot="1" x14ac:dyDescent="0.3">
      <c r="A9" s="104"/>
      <c r="B9" s="105"/>
      <c r="C9" s="43" t="s">
        <v>36</v>
      </c>
      <c r="D9" s="37" t="s">
        <v>37</v>
      </c>
      <c r="E9" s="37" t="s">
        <v>38</v>
      </c>
      <c r="F9" s="44" t="s">
        <v>39</v>
      </c>
      <c r="G9" s="52" t="s">
        <v>40</v>
      </c>
      <c r="H9" s="53" t="s">
        <v>41</v>
      </c>
      <c r="I9" s="100"/>
    </row>
    <row r="10" spans="1:9" ht="15.75" thickBot="1" x14ac:dyDescent="0.3">
      <c r="A10" s="40" t="s">
        <v>42</v>
      </c>
      <c r="B10" s="41" t="s">
        <v>43</v>
      </c>
      <c r="C10" s="40" t="s">
        <v>44</v>
      </c>
      <c r="D10" s="42" t="s">
        <v>45</v>
      </c>
      <c r="E10" s="42" t="s">
        <v>46</v>
      </c>
      <c r="F10" s="41" t="s">
        <v>47</v>
      </c>
      <c r="G10" s="40" t="s">
        <v>48</v>
      </c>
      <c r="H10" s="41" t="s">
        <v>48</v>
      </c>
      <c r="I10" s="60" t="s">
        <v>49</v>
      </c>
    </row>
    <row r="11" spans="1:9" x14ac:dyDescent="0.25">
      <c r="A11" s="38">
        <v>1</v>
      </c>
      <c r="B11" s="21" t="s">
        <v>50</v>
      </c>
      <c r="C11" s="45">
        <v>20</v>
      </c>
      <c r="D11" s="39">
        <f>'Справочник(лист1)'!B$13*'Справочник(лист2)'!C11</f>
        <v>600</v>
      </c>
      <c r="E11" s="39">
        <f>'Справочник(лист1)'!B$10*'Справочник(лист2)'!D11</f>
        <v>180</v>
      </c>
      <c r="F11" s="46">
        <f>E11+D11</f>
        <v>780</v>
      </c>
      <c r="G11" s="54">
        <f>'Справочник(лист1)'!B$11*'Справочник(лист2)'!F11</f>
        <v>156</v>
      </c>
      <c r="H11" s="55">
        <f>'Справочник(лист1)'!B$12*'Справочник(лист2)'!D11</f>
        <v>30</v>
      </c>
      <c r="I11" s="61">
        <f>SUM(F11:H11)</f>
        <v>966</v>
      </c>
    </row>
    <row r="12" spans="1:9" x14ac:dyDescent="0.25">
      <c r="A12" s="34">
        <v>2</v>
      </c>
      <c r="B12" s="23" t="s">
        <v>51</v>
      </c>
      <c r="C12" s="47">
        <v>15</v>
      </c>
      <c r="D12" s="33">
        <f>'Справочник(лист1)'!B$13*'Справочник(лист2)'!C12</f>
        <v>450</v>
      </c>
      <c r="E12" s="33">
        <f>'Справочник(лист1)'!B$10*'Справочник(лист2)'!D12</f>
        <v>135</v>
      </c>
      <c r="F12" s="48">
        <f t="shared" ref="F12:F17" si="0">E12+D12</f>
        <v>585</v>
      </c>
      <c r="G12" s="56">
        <f>'Справочник(лист1)'!B$11*'Справочник(лист2)'!F12</f>
        <v>117</v>
      </c>
      <c r="H12" s="57">
        <f>'Справочник(лист1)'!B$12*'Справочник(лист2)'!D12</f>
        <v>22.5</v>
      </c>
      <c r="I12" s="62">
        <f t="shared" ref="I12:I17" si="1">SUM(F12:H12)</f>
        <v>724.5</v>
      </c>
    </row>
    <row r="13" spans="1:9" x14ac:dyDescent="0.25">
      <c r="A13" s="34">
        <v>3</v>
      </c>
      <c r="B13" s="23" t="s">
        <v>52</v>
      </c>
      <c r="C13" s="47">
        <v>40</v>
      </c>
      <c r="D13" s="33">
        <f>'Справочник(лист1)'!B$13*'Справочник(лист2)'!C13</f>
        <v>1200</v>
      </c>
      <c r="E13" s="33">
        <f>'Справочник(лист1)'!B$10*'Справочник(лист2)'!D13</f>
        <v>360</v>
      </c>
      <c r="F13" s="48">
        <f t="shared" si="0"/>
        <v>1560</v>
      </c>
      <c r="G13" s="56">
        <f>'Справочник(лист1)'!B$11*'Справочник(лист2)'!F13</f>
        <v>312</v>
      </c>
      <c r="H13" s="57">
        <f>'Справочник(лист1)'!B$12*'Справочник(лист2)'!D13</f>
        <v>60</v>
      </c>
      <c r="I13" s="62">
        <f t="shared" si="1"/>
        <v>1932</v>
      </c>
    </row>
    <row r="14" spans="1:9" x14ac:dyDescent="0.25">
      <c r="A14" s="34">
        <v>4</v>
      </c>
      <c r="B14" s="23" t="s">
        <v>53</v>
      </c>
      <c r="C14" s="47">
        <v>33</v>
      </c>
      <c r="D14" s="33">
        <f>'Справочник(лист1)'!B$13*'Справочник(лист2)'!C14</f>
        <v>990</v>
      </c>
      <c r="E14" s="33">
        <f>'Справочник(лист1)'!B$10*'Справочник(лист2)'!D14</f>
        <v>297</v>
      </c>
      <c r="F14" s="48">
        <f t="shared" si="0"/>
        <v>1287</v>
      </c>
      <c r="G14" s="56">
        <f>'Справочник(лист1)'!B$11*'Справочник(лист2)'!F14</f>
        <v>257.40000000000003</v>
      </c>
      <c r="H14" s="57">
        <f>'Справочник(лист1)'!B$12*'Справочник(лист2)'!D14</f>
        <v>49.5</v>
      </c>
      <c r="I14" s="62">
        <f t="shared" si="1"/>
        <v>1593.9</v>
      </c>
    </row>
    <row r="15" spans="1:9" x14ac:dyDescent="0.25">
      <c r="A15" s="34">
        <v>5</v>
      </c>
      <c r="B15" s="23" t="s">
        <v>54</v>
      </c>
      <c r="C15" s="47">
        <v>18</v>
      </c>
      <c r="D15" s="33">
        <f>'Справочник(лист1)'!B$13*'Справочник(лист2)'!C15</f>
        <v>540</v>
      </c>
      <c r="E15" s="33">
        <f>'Справочник(лист1)'!B$10*'Справочник(лист2)'!D15</f>
        <v>162</v>
      </c>
      <c r="F15" s="48">
        <f t="shared" si="0"/>
        <v>702</v>
      </c>
      <c r="G15" s="56">
        <f>'Справочник(лист1)'!B$11*'Справочник(лист2)'!F15</f>
        <v>140.4</v>
      </c>
      <c r="H15" s="57">
        <f>'Справочник(лист1)'!B$12*'Справочник(лист2)'!D15</f>
        <v>27</v>
      </c>
      <c r="I15" s="62">
        <f t="shared" si="1"/>
        <v>869.4</v>
      </c>
    </row>
    <row r="16" spans="1:9" x14ac:dyDescent="0.25">
      <c r="A16" s="34">
        <v>6</v>
      </c>
      <c r="B16" s="23" t="s">
        <v>55</v>
      </c>
      <c r="C16" s="47">
        <v>25</v>
      </c>
      <c r="D16" s="33">
        <f>'Справочник(лист1)'!B$13*'Справочник(лист2)'!C16</f>
        <v>750</v>
      </c>
      <c r="E16" s="33">
        <f>'Справочник(лист1)'!B$10*'Справочник(лист2)'!D16</f>
        <v>225</v>
      </c>
      <c r="F16" s="48">
        <f t="shared" si="0"/>
        <v>975</v>
      </c>
      <c r="G16" s="56">
        <f>'Справочник(лист1)'!B$11*'Справочник(лист2)'!F16</f>
        <v>195</v>
      </c>
      <c r="H16" s="57">
        <f>'Справочник(лист1)'!B$12*'Справочник(лист2)'!D16</f>
        <v>37.5</v>
      </c>
      <c r="I16" s="62">
        <f t="shared" si="1"/>
        <v>1207.5</v>
      </c>
    </row>
    <row r="17" spans="1:9" ht="15.75" thickBot="1" x14ac:dyDescent="0.3">
      <c r="A17" s="35">
        <v>7</v>
      </c>
      <c r="B17" s="36" t="s">
        <v>56</v>
      </c>
      <c r="C17" s="49">
        <v>150</v>
      </c>
      <c r="D17" s="50">
        <f>'Справочник(лист1)'!B$13*'Справочник(лист2)'!C17</f>
        <v>4500</v>
      </c>
      <c r="E17" s="50">
        <f>'Справочник(лист1)'!B$10*'Справочник(лист2)'!D17</f>
        <v>1350</v>
      </c>
      <c r="F17" s="51">
        <f t="shared" si="0"/>
        <v>5850</v>
      </c>
      <c r="G17" s="58">
        <f>'Справочник(лист1)'!B$11*'Справочник(лист2)'!F17</f>
        <v>1170</v>
      </c>
      <c r="H17" s="59">
        <f>'Справочник(лист1)'!B$12*'Справочник(лист2)'!D17</f>
        <v>225</v>
      </c>
      <c r="I17" s="63">
        <f t="shared" si="1"/>
        <v>7245</v>
      </c>
    </row>
    <row r="20" spans="1:9" x14ac:dyDescent="0.25">
      <c r="A20" s="101" t="s">
        <v>57</v>
      </c>
      <c r="B20" s="101"/>
      <c r="C20" t="str">
        <f>'Справочник(лист1)'!B8</f>
        <v>Иванов С.П</v>
      </c>
      <c r="E20" s="101" t="s">
        <v>58</v>
      </c>
      <c r="F20" s="101"/>
      <c r="G20" s="101"/>
      <c r="H20" s="101"/>
      <c r="I20" t="str">
        <f>'Справочник(лист1)'!B9</f>
        <v>Сидорова М.П</v>
      </c>
    </row>
  </sheetData>
  <mergeCells count="9">
    <mergeCell ref="I8:I9"/>
    <mergeCell ref="A6:I6"/>
    <mergeCell ref="A20:B20"/>
    <mergeCell ref="E20:H20"/>
    <mergeCell ref="A4:B4"/>
    <mergeCell ref="A8:A9"/>
    <mergeCell ref="B8:B9"/>
    <mergeCell ref="C8:F8"/>
    <mergeCell ref="G8:H8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&amp;LПатутин Владимир Михайлович&amp;CP3114&amp;Rлабораторная  работа №6</oddHeader>
    <oddFooter>&amp;C&amp;D&amp;R&amp;T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R14" sqref="R14"/>
    </sheetView>
  </sheetViews>
  <sheetFormatPr defaultRowHeight="15" x14ac:dyDescent="0.25"/>
  <sheetData>
    <row r="1" spans="1:1" x14ac:dyDescent="0.25">
      <c r="A1" t="s">
        <v>60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17"/>
  <sheetViews>
    <sheetView tabSelected="1" workbookViewId="0">
      <selection activeCell="F4" sqref="F4"/>
    </sheetView>
  </sheetViews>
  <sheetFormatPr defaultRowHeight="15" x14ac:dyDescent="0.25"/>
  <cols>
    <col min="1" max="1" width="22.85546875" customWidth="1"/>
    <col min="2" max="2" width="15.5703125" customWidth="1"/>
    <col min="3" max="3" width="15.85546875" customWidth="1"/>
  </cols>
  <sheetData>
    <row r="1" spans="1:3" x14ac:dyDescent="0.25">
      <c r="A1" t="s">
        <v>80</v>
      </c>
    </row>
    <row r="2" spans="1:3" x14ac:dyDescent="0.25">
      <c r="A2" s="64" t="s">
        <v>61</v>
      </c>
      <c r="B2" s="70" t="s">
        <v>75</v>
      </c>
      <c r="C2" s="70" t="s">
        <v>76</v>
      </c>
    </row>
    <row r="3" spans="1:3" x14ac:dyDescent="0.25">
      <c r="A3" s="65" t="s">
        <v>73</v>
      </c>
      <c r="B3" s="69">
        <v>2</v>
      </c>
      <c r="C3" s="71">
        <f>IFERROR(VLOOKUP(A3,'Таблица 2'!$A$3:$B$14,2,FALSE),"Нет в продаже")</f>
        <v>2800</v>
      </c>
    </row>
    <row r="4" spans="1:3" x14ac:dyDescent="0.25">
      <c r="A4" s="65" t="s">
        <v>71</v>
      </c>
      <c r="B4" s="69">
        <v>2</v>
      </c>
      <c r="C4" s="71">
        <f>IFERROR(VLOOKUP(A4,'Таблица 2'!$A$3:$B$14,2,FALSE),"Нет в продаже")</f>
        <v>2600</v>
      </c>
    </row>
    <row r="5" spans="1:3" x14ac:dyDescent="0.25">
      <c r="A5" s="65" t="s">
        <v>79</v>
      </c>
      <c r="B5" s="69">
        <v>1</v>
      </c>
      <c r="C5" s="72" t="str">
        <f>IFERROR(VLOOKUP(A5,'Таблица 2'!$A$3:$B$14,2,FALSE),"Нет в продаже")</f>
        <v>Нет в продаже</v>
      </c>
    </row>
    <row r="6" spans="1:3" x14ac:dyDescent="0.25">
      <c r="A6" s="65" t="s">
        <v>77</v>
      </c>
      <c r="B6" s="69">
        <v>3</v>
      </c>
      <c r="C6" s="72" t="str">
        <f>IFERROR(VLOOKUP(A6,'Таблица 2'!$A$3:$B$14,2,FALSE),"Нет в продаже")</f>
        <v>Нет в продаже</v>
      </c>
    </row>
    <row r="7" spans="1:3" x14ac:dyDescent="0.25">
      <c r="A7" s="65" t="s">
        <v>69</v>
      </c>
      <c r="B7" s="69">
        <v>2</v>
      </c>
      <c r="C7" s="71">
        <f>IFERROR(VLOOKUP(A7,'Таблица 2'!$A$3:$B$14,2,FALSE),"Нет в продаже")</f>
        <v>1500</v>
      </c>
    </row>
    <row r="8" spans="1:3" x14ac:dyDescent="0.25">
      <c r="A8" s="65" t="s">
        <v>65</v>
      </c>
      <c r="B8" s="69">
        <v>4</v>
      </c>
      <c r="C8" s="71">
        <f>IFERROR(VLOOKUP(A8,'Таблица 2'!$A$3:$B$14,2,FALSE),"Нет в продаже")</f>
        <v>12000</v>
      </c>
    </row>
    <row r="9" spans="1:3" x14ac:dyDescent="0.25">
      <c r="A9" s="65" t="s">
        <v>63</v>
      </c>
      <c r="B9" s="69">
        <v>1</v>
      </c>
      <c r="C9" s="71">
        <f>IFERROR(VLOOKUP(A9,'Таблица 2'!$A$3:$B$14,2,FALSE),"Нет в продаже")</f>
        <v>8000</v>
      </c>
    </row>
    <row r="10" spans="1:3" x14ac:dyDescent="0.25">
      <c r="A10" s="65" t="s">
        <v>66</v>
      </c>
      <c r="B10" s="69">
        <v>1</v>
      </c>
      <c r="C10" s="71">
        <f>IFERROR(VLOOKUP(A10,'Таблица 2'!$A$3:$B$14,2,FALSE),"Нет в продаже")</f>
        <v>3500</v>
      </c>
    </row>
    <row r="11" spans="1:3" x14ac:dyDescent="0.25">
      <c r="A11" s="65" t="s">
        <v>72</v>
      </c>
      <c r="B11" s="69">
        <v>5</v>
      </c>
      <c r="C11" s="71">
        <f>IFERROR(VLOOKUP(A11,'Таблица 2'!$A$3:$B$14,2,FALSE),"Нет в продаже")</f>
        <v>4000</v>
      </c>
    </row>
    <row r="12" spans="1:3" x14ac:dyDescent="0.25">
      <c r="A12" s="65" t="s">
        <v>70</v>
      </c>
      <c r="B12" s="69">
        <v>8</v>
      </c>
      <c r="C12" s="71">
        <f>IFERROR(VLOOKUP(A12,'Таблица 2'!$A$3:$B$14,2,FALSE),"Нет в продаже")</f>
        <v>455</v>
      </c>
    </row>
    <row r="13" spans="1:3" x14ac:dyDescent="0.25">
      <c r="A13" s="65" t="s">
        <v>68</v>
      </c>
      <c r="B13" s="69">
        <v>10</v>
      </c>
      <c r="C13" s="71">
        <f>IFERROR(VLOOKUP(A13,'Таблица 2'!$A$3:$B$14,2,FALSE),"Нет в продаже")</f>
        <v>350</v>
      </c>
    </row>
    <row r="14" spans="1:3" x14ac:dyDescent="0.25">
      <c r="A14" s="65" t="s">
        <v>78</v>
      </c>
      <c r="B14" s="69">
        <v>1</v>
      </c>
      <c r="C14" s="72" t="str">
        <f>IFERROR(VLOOKUP(A14,'Таблица 2'!$A$3:$B$14,2,FALSE),"Нет в продаже")</f>
        <v>Нет в продаже</v>
      </c>
    </row>
    <row r="15" spans="1:3" x14ac:dyDescent="0.25">
      <c r="A15" s="68"/>
      <c r="B15" s="69" t="s">
        <v>39</v>
      </c>
      <c r="C15" s="71">
        <f>SUM(C3:C14)</f>
        <v>35205</v>
      </c>
    </row>
    <row r="17" spans="2:3" x14ac:dyDescent="0.25">
      <c r="B17" s="31"/>
      <c r="C17" s="31"/>
    </row>
  </sheetData>
  <autoFilter ref="C3:C14"/>
  <sortState ref="A3:C14">
    <sortCondition ref="A14"/>
  </sortState>
  <conditionalFormatting sqref="C3:C14">
    <cfRule type="cellIs" dxfId="0" priority="1" operator="equal">
      <formula>"Нет в продаже"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4"/>
  <sheetViews>
    <sheetView workbookViewId="0">
      <selection activeCell="B9" sqref="B9"/>
    </sheetView>
  </sheetViews>
  <sheetFormatPr defaultRowHeight="15" x14ac:dyDescent="0.25"/>
  <cols>
    <col min="1" max="1" width="23.28515625" customWidth="1"/>
    <col min="2" max="2" width="12.42578125" customWidth="1"/>
  </cols>
  <sheetData>
    <row r="1" spans="1:2" x14ac:dyDescent="0.25">
      <c r="A1" t="s">
        <v>81</v>
      </c>
    </row>
    <row r="2" spans="1:2" x14ac:dyDescent="0.25">
      <c r="A2" s="67" t="s">
        <v>61</v>
      </c>
      <c r="B2" s="67" t="s">
        <v>62</v>
      </c>
    </row>
    <row r="3" spans="1:2" x14ac:dyDescent="0.25">
      <c r="A3" s="66" t="s">
        <v>73</v>
      </c>
      <c r="B3" s="66">
        <v>2800</v>
      </c>
    </row>
    <row r="4" spans="1:2" x14ac:dyDescent="0.25">
      <c r="A4" s="66" t="s">
        <v>71</v>
      </c>
      <c r="B4" s="66">
        <v>2600</v>
      </c>
    </row>
    <row r="5" spans="1:2" x14ac:dyDescent="0.25">
      <c r="A5" s="66" t="s">
        <v>64</v>
      </c>
      <c r="B5" s="66">
        <v>1400</v>
      </c>
    </row>
    <row r="6" spans="1:2" x14ac:dyDescent="0.25">
      <c r="A6" s="66" t="s">
        <v>69</v>
      </c>
      <c r="B6" s="66">
        <v>1500</v>
      </c>
    </row>
    <row r="7" spans="1:2" x14ac:dyDescent="0.25">
      <c r="A7" s="66" t="s">
        <v>65</v>
      </c>
      <c r="B7" s="66">
        <v>12000</v>
      </c>
    </row>
    <row r="8" spans="1:2" x14ac:dyDescent="0.25">
      <c r="A8" s="66" t="s">
        <v>63</v>
      </c>
      <c r="B8" s="66">
        <v>8000</v>
      </c>
    </row>
    <row r="9" spans="1:2" x14ac:dyDescent="0.25">
      <c r="A9" s="66" t="s">
        <v>66</v>
      </c>
      <c r="B9" s="66">
        <v>3500</v>
      </c>
    </row>
    <row r="10" spans="1:2" x14ac:dyDescent="0.25">
      <c r="A10" s="66" t="s">
        <v>74</v>
      </c>
      <c r="B10" s="66">
        <v>790</v>
      </c>
    </row>
    <row r="11" spans="1:2" x14ac:dyDescent="0.25">
      <c r="A11" s="66" t="s">
        <v>72</v>
      </c>
      <c r="B11" s="66">
        <v>4000</v>
      </c>
    </row>
    <row r="12" spans="1:2" x14ac:dyDescent="0.25">
      <c r="A12" s="66" t="s">
        <v>70</v>
      </c>
      <c r="B12" s="66">
        <v>455</v>
      </c>
    </row>
    <row r="13" spans="1:2" x14ac:dyDescent="0.25">
      <c r="A13" s="66" t="s">
        <v>68</v>
      </c>
      <c r="B13" s="66">
        <v>350</v>
      </c>
    </row>
    <row r="14" spans="1:2" x14ac:dyDescent="0.25">
      <c r="A14" s="66" t="s">
        <v>67</v>
      </c>
      <c r="B14" s="66">
        <v>700</v>
      </c>
    </row>
  </sheetData>
  <sortState ref="A3:B14">
    <sortCondition ref="A1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49"/>
  <sheetViews>
    <sheetView workbookViewId="0">
      <selection activeCell="J40" sqref="J40"/>
    </sheetView>
  </sheetViews>
  <sheetFormatPr defaultRowHeight="15" x14ac:dyDescent="0.25"/>
  <cols>
    <col min="2" max="2" width="16.5703125" customWidth="1"/>
    <col min="3" max="3" width="19" customWidth="1"/>
    <col min="4" max="4" width="16" customWidth="1"/>
    <col min="5" max="5" width="24.5703125" customWidth="1"/>
    <col min="6" max="6" width="14" customWidth="1"/>
  </cols>
  <sheetData>
    <row r="1" spans="1:6" x14ac:dyDescent="0.25">
      <c r="A1" s="73"/>
      <c r="B1" s="73" t="s">
        <v>82</v>
      </c>
      <c r="C1" s="73" t="s">
        <v>83</v>
      </c>
      <c r="D1" s="73"/>
      <c r="E1" s="73"/>
      <c r="F1" s="73"/>
    </row>
    <row r="2" spans="1:6" ht="15.75" thickBot="1" x14ac:dyDescent="0.3">
      <c r="A2" s="73"/>
      <c r="B2" s="73" t="s">
        <v>84</v>
      </c>
      <c r="C2" s="73" t="str">
        <f>IF(MOD(ROUNDUP(DATEDIF("02.09.2019",A4,"d")/7,0),2)=0,"Нечетная","Четная")</f>
        <v>Четная</v>
      </c>
      <c r="D2" s="73"/>
      <c r="E2" s="73"/>
      <c r="F2" s="73"/>
    </row>
    <row r="3" spans="1:6" ht="15.75" thickTop="1" x14ac:dyDescent="0.25">
      <c r="A3" s="74" t="s">
        <v>85</v>
      </c>
      <c r="B3" s="75" t="s">
        <v>86</v>
      </c>
      <c r="C3" s="75" t="s">
        <v>87</v>
      </c>
      <c r="D3" s="75" t="s">
        <v>88</v>
      </c>
      <c r="E3" s="75" t="s">
        <v>89</v>
      </c>
      <c r="F3" s="76" t="s">
        <v>90</v>
      </c>
    </row>
    <row r="4" spans="1:6" x14ac:dyDescent="0.25">
      <c r="A4" s="106">
        <v>43717</v>
      </c>
      <c r="B4" s="108" t="s">
        <v>91</v>
      </c>
      <c r="C4" s="77">
        <v>0.34722222222222227</v>
      </c>
      <c r="D4" s="77">
        <v>0.40972222222222227</v>
      </c>
      <c r="E4" s="78"/>
      <c r="F4" s="79"/>
    </row>
    <row r="5" spans="1:6" x14ac:dyDescent="0.25">
      <c r="A5" s="106"/>
      <c r="B5" s="108"/>
      <c r="C5" s="77">
        <v>0.41666666666666669</v>
      </c>
      <c r="D5" s="77">
        <v>0.47916666666666669</v>
      </c>
      <c r="E5" s="78" t="str">
        <f>IF($C$2 = "Нечетная","Программирование (лаб.)","ОПД (лаб)")</f>
        <v>ОПД (лаб)</v>
      </c>
      <c r="F5" s="79" t="str">
        <f>IF($C$2 = "Нечетная","371","372")</f>
        <v>372</v>
      </c>
    </row>
    <row r="6" spans="1:6" x14ac:dyDescent="0.25">
      <c r="A6" s="106"/>
      <c r="B6" s="108"/>
      <c r="C6" s="77">
        <v>0.4861111111111111</v>
      </c>
      <c r="D6" s="77">
        <v>0.54861111111111105</v>
      </c>
      <c r="E6" s="78" t="str">
        <f>IF($C$2 = "Нечетная","Программирование (лаб.)","ОПД (лаб)")</f>
        <v>ОПД (лаб)</v>
      </c>
      <c r="F6" s="79" t="str">
        <f>IF($C$2 = "Нечетная","371","372")</f>
        <v>372</v>
      </c>
    </row>
    <row r="7" spans="1:6" x14ac:dyDescent="0.25">
      <c r="A7" s="106"/>
      <c r="B7" s="108"/>
      <c r="C7" s="77">
        <v>0.5625</v>
      </c>
      <c r="D7" s="77">
        <v>0.625</v>
      </c>
      <c r="E7" s="78" t="str">
        <f>IF($C$2 = "Нечетная","Дискретная математика(прак.)","Информатика (лаб.)")</f>
        <v>Информатика (лаб.)</v>
      </c>
      <c r="F7" s="79" t="str">
        <f>IF($C$2 = "Нечетная","369а","304")</f>
        <v>304</v>
      </c>
    </row>
    <row r="8" spans="1:6" x14ac:dyDescent="0.25">
      <c r="A8" s="106"/>
      <c r="B8" s="108"/>
      <c r="C8" s="77">
        <v>0.63888888888888895</v>
      </c>
      <c r="D8" s="77">
        <v>0.70138888888888884</v>
      </c>
      <c r="E8" s="78" t="str">
        <f>IF($C$2 = "Нечетная","Дискретная математика(прак.)","Информатика (лаб.)")</f>
        <v>Информатика (лаб.)</v>
      </c>
      <c r="F8" s="79" t="str">
        <f>IF($C$2 = "Нечетная","369а","304")</f>
        <v>304</v>
      </c>
    </row>
    <row r="9" spans="1:6" ht="15.75" thickBot="1" x14ac:dyDescent="0.3">
      <c r="A9" s="107"/>
      <c r="B9" s="109"/>
      <c r="C9" s="80">
        <v>0.70833333333333337</v>
      </c>
      <c r="D9" s="80">
        <v>0.77083333333333337</v>
      </c>
      <c r="E9" s="81"/>
      <c r="F9" s="82"/>
    </row>
    <row r="10" spans="1:6" ht="16.5" thickTop="1" thickBot="1" x14ac:dyDescent="0.3">
      <c r="A10" s="73"/>
      <c r="B10" s="73"/>
      <c r="C10" s="73"/>
      <c r="D10" s="73"/>
      <c r="E10" s="73"/>
      <c r="F10" s="73"/>
    </row>
    <row r="11" spans="1:6" ht="15.75" thickBot="1" x14ac:dyDescent="0.3">
      <c r="A11" s="40" t="s">
        <v>85</v>
      </c>
      <c r="B11" s="42" t="s">
        <v>86</v>
      </c>
      <c r="C11" s="42" t="s">
        <v>87</v>
      </c>
      <c r="D11" s="42" t="s">
        <v>88</v>
      </c>
      <c r="E11" s="42" t="s">
        <v>89</v>
      </c>
      <c r="F11" s="41" t="s">
        <v>90</v>
      </c>
    </row>
    <row r="12" spans="1:6" x14ac:dyDescent="0.25">
      <c r="A12" s="110">
        <f>A4+1</f>
        <v>43718</v>
      </c>
      <c r="B12" s="113" t="s">
        <v>92</v>
      </c>
      <c r="C12" s="83">
        <v>0.34722222222222227</v>
      </c>
      <c r="D12" s="83">
        <v>0.40972222222222227</v>
      </c>
      <c r="E12" s="84"/>
      <c r="F12" s="85"/>
    </row>
    <row r="13" spans="1:6" x14ac:dyDescent="0.25">
      <c r="A13" s="111"/>
      <c r="B13" s="113"/>
      <c r="C13" s="77">
        <v>0.41666666666666669</v>
      </c>
      <c r="D13" s="77">
        <v>0.47916666666666669</v>
      </c>
      <c r="E13" s="78"/>
      <c r="F13" s="86"/>
    </row>
    <row r="14" spans="1:6" x14ac:dyDescent="0.25">
      <c r="A14" s="111"/>
      <c r="B14" s="113"/>
      <c r="C14" s="77">
        <v>0.4861111111111111</v>
      </c>
      <c r="D14" s="77">
        <v>0.54861111111111105</v>
      </c>
      <c r="E14" s="78" t="s">
        <v>93</v>
      </c>
      <c r="F14" s="86">
        <v>550</v>
      </c>
    </row>
    <row r="15" spans="1:6" x14ac:dyDescent="0.25">
      <c r="A15" s="111"/>
      <c r="B15" s="113"/>
      <c r="C15" s="77">
        <v>0.5625</v>
      </c>
      <c r="D15" s="77">
        <v>0.625</v>
      </c>
      <c r="E15" s="78"/>
      <c r="F15" s="86"/>
    </row>
    <row r="16" spans="1:6" x14ac:dyDescent="0.25">
      <c r="A16" s="111"/>
      <c r="B16" s="113"/>
      <c r="C16" s="77">
        <v>0.63888888888888895</v>
      </c>
      <c r="D16" s="77">
        <v>0.70138888888888884</v>
      </c>
      <c r="E16" s="78" t="s">
        <v>94</v>
      </c>
      <c r="F16" s="86">
        <v>535</v>
      </c>
    </row>
    <row r="17" spans="1:6" ht="15.75" thickBot="1" x14ac:dyDescent="0.3">
      <c r="A17" s="112"/>
      <c r="B17" s="114"/>
      <c r="C17" s="87">
        <v>0.70833333333333337</v>
      </c>
      <c r="D17" s="87">
        <v>0.77083333333333337</v>
      </c>
      <c r="E17" s="88"/>
      <c r="F17" s="89"/>
    </row>
    <row r="18" spans="1:6" ht="15.75" thickBot="1" x14ac:dyDescent="0.3">
      <c r="A18" s="73"/>
      <c r="B18" s="73"/>
      <c r="C18" s="73"/>
      <c r="D18" s="73"/>
      <c r="E18" s="73"/>
      <c r="F18" s="73"/>
    </row>
    <row r="19" spans="1:6" ht="15.75" thickBot="1" x14ac:dyDescent="0.3">
      <c r="A19" s="40" t="s">
        <v>85</v>
      </c>
      <c r="B19" s="42" t="s">
        <v>86</v>
      </c>
      <c r="C19" s="42" t="s">
        <v>87</v>
      </c>
      <c r="D19" s="42" t="s">
        <v>88</v>
      </c>
      <c r="E19" s="42" t="s">
        <v>89</v>
      </c>
      <c r="F19" s="41" t="s">
        <v>90</v>
      </c>
    </row>
    <row r="20" spans="1:6" x14ac:dyDescent="0.25">
      <c r="A20" s="110">
        <f>A12+1</f>
        <v>43719</v>
      </c>
      <c r="B20" s="113" t="s">
        <v>95</v>
      </c>
      <c r="C20" s="83">
        <v>0.34722222222222227</v>
      </c>
      <c r="D20" s="83">
        <v>0.40972222222222227</v>
      </c>
      <c r="E20" s="84"/>
      <c r="F20" s="85"/>
    </row>
    <row r="21" spans="1:6" x14ac:dyDescent="0.25">
      <c r="A21" s="111"/>
      <c r="B21" s="113"/>
      <c r="C21" s="77">
        <v>0.41666666666666669</v>
      </c>
      <c r="D21" s="77">
        <v>0.47916666666666669</v>
      </c>
      <c r="E21" s="78" t="s">
        <v>96</v>
      </c>
      <c r="F21" s="86">
        <v>4303</v>
      </c>
    </row>
    <row r="22" spans="1:6" x14ac:dyDescent="0.25">
      <c r="A22" s="111"/>
      <c r="B22" s="113"/>
      <c r="C22" s="77">
        <v>0.4861111111111111</v>
      </c>
      <c r="D22" s="77">
        <v>0.54861111111111105</v>
      </c>
      <c r="E22" s="78" t="s">
        <v>97</v>
      </c>
      <c r="F22" s="86">
        <v>3210</v>
      </c>
    </row>
    <row r="23" spans="1:6" x14ac:dyDescent="0.25">
      <c r="A23" s="111"/>
      <c r="B23" s="113"/>
      <c r="C23" s="77">
        <v>0.5625</v>
      </c>
      <c r="D23" s="77">
        <v>0.625</v>
      </c>
      <c r="E23" s="78" t="s">
        <v>98</v>
      </c>
      <c r="F23" s="86">
        <v>3412</v>
      </c>
    </row>
    <row r="24" spans="1:6" x14ac:dyDescent="0.25">
      <c r="A24" s="111"/>
      <c r="B24" s="113"/>
      <c r="C24" s="77">
        <v>0.63888888888888895</v>
      </c>
      <c r="D24" s="77">
        <v>0.70138888888888884</v>
      </c>
      <c r="E24" s="78"/>
      <c r="F24" s="86"/>
    </row>
    <row r="25" spans="1:6" ht="15.75" thickBot="1" x14ac:dyDescent="0.3">
      <c r="A25" s="112"/>
      <c r="B25" s="114"/>
      <c r="C25" s="87">
        <v>0.70833333333333337</v>
      </c>
      <c r="D25" s="87">
        <v>0.77083333333333337</v>
      </c>
      <c r="E25" s="88"/>
      <c r="F25" s="89"/>
    </row>
    <row r="26" spans="1:6" ht="15.75" thickBot="1" x14ac:dyDescent="0.3">
      <c r="A26" s="73"/>
      <c r="B26" s="73"/>
      <c r="C26" s="73"/>
      <c r="D26" s="73"/>
      <c r="E26" s="73"/>
      <c r="F26" s="73"/>
    </row>
    <row r="27" spans="1:6" ht="15.75" thickBot="1" x14ac:dyDescent="0.3">
      <c r="A27" s="40" t="s">
        <v>85</v>
      </c>
      <c r="B27" s="42" t="s">
        <v>86</v>
      </c>
      <c r="C27" s="42" t="s">
        <v>87</v>
      </c>
      <c r="D27" s="42" t="s">
        <v>88</v>
      </c>
      <c r="E27" s="42" t="s">
        <v>89</v>
      </c>
      <c r="F27" s="41" t="s">
        <v>90</v>
      </c>
    </row>
    <row r="28" spans="1:6" x14ac:dyDescent="0.25">
      <c r="A28" s="110">
        <f>A20+1</f>
        <v>43720</v>
      </c>
      <c r="B28" s="113" t="s">
        <v>99</v>
      </c>
      <c r="C28" s="83">
        <v>0.34722222222222227</v>
      </c>
      <c r="D28" s="83">
        <v>0.40972222222222227</v>
      </c>
      <c r="E28" s="84"/>
      <c r="F28" s="85"/>
    </row>
    <row r="29" spans="1:6" x14ac:dyDescent="0.25">
      <c r="A29" s="111"/>
      <c r="B29" s="113"/>
      <c r="C29" s="77">
        <v>0.41666666666666669</v>
      </c>
      <c r="D29" s="77">
        <v>0.47916666666666669</v>
      </c>
      <c r="E29" s="78" t="str">
        <f>IF($C$2 = "Нечетная","Программирование (лек.)","ОПД (лек)")</f>
        <v>ОПД (лек)</v>
      </c>
      <c r="F29" s="86">
        <v>285</v>
      </c>
    </row>
    <row r="30" spans="1:6" x14ac:dyDescent="0.25">
      <c r="A30" s="111"/>
      <c r="B30" s="113"/>
      <c r="C30" s="77">
        <v>0.4861111111111111</v>
      </c>
      <c r="D30" s="77">
        <v>0.54861111111111105</v>
      </c>
      <c r="E30" s="78" t="str">
        <f>IF($C$2 = "Нечетная","Дискретная математика(лек.)","Информатика (лек.)")</f>
        <v>Информатика (лек.)</v>
      </c>
      <c r="F30" s="86">
        <v>429</v>
      </c>
    </row>
    <row r="31" spans="1:6" x14ac:dyDescent="0.25">
      <c r="A31" s="111"/>
      <c r="B31" s="113"/>
      <c r="C31" s="77">
        <v>0.5625</v>
      </c>
      <c r="D31" s="77">
        <v>0.625</v>
      </c>
      <c r="E31" s="78"/>
      <c r="F31" s="86"/>
    </row>
    <row r="32" spans="1:6" x14ac:dyDescent="0.25">
      <c r="A32" s="111"/>
      <c r="B32" s="113"/>
      <c r="C32" s="77">
        <v>0.63888888888888895</v>
      </c>
      <c r="D32" s="77">
        <v>0.70138888888888884</v>
      </c>
      <c r="E32" s="78"/>
      <c r="F32" s="86"/>
    </row>
    <row r="33" spans="1:6" ht="15.75" thickBot="1" x14ac:dyDescent="0.3">
      <c r="A33" s="112"/>
      <c r="B33" s="114"/>
      <c r="C33" s="87">
        <v>0.70833333333333337</v>
      </c>
      <c r="D33" s="87">
        <v>0.77083333333333337</v>
      </c>
      <c r="E33" s="88"/>
      <c r="F33" s="89"/>
    </row>
    <row r="34" spans="1:6" ht="15.75" thickBot="1" x14ac:dyDescent="0.3">
      <c r="A34" s="73"/>
      <c r="B34" s="73"/>
      <c r="C34" s="73"/>
      <c r="D34" s="73"/>
      <c r="E34" s="73"/>
      <c r="F34" s="73"/>
    </row>
    <row r="35" spans="1:6" ht="15.75" thickBot="1" x14ac:dyDescent="0.3">
      <c r="A35" s="40" t="s">
        <v>85</v>
      </c>
      <c r="B35" s="42" t="s">
        <v>86</v>
      </c>
      <c r="C35" s="42" t="s">
        <v>87</v>
      </c>
      <c r="D35" s="42" t="s">
        <v>88</v>
      </c>
      <c r="E35" s="42" t="s">
        <v>89</v>
      </c>
      <c r="F35" s="41" t="s">
        <v>90</v>
      </c>
    </row>
    <row r="36" spans="1:6" x14ac:dyDescent="0.25">
      <c r="A36" s="110">
        <f>A28+1</f>
        <v>43721</v>
      </c>
      <c r="B36" s="113" t="s">
        <v>100</v>
      </c>
      <c r="C36" s="83">
        <v>0.34722222222222227</v>
      </c>
      <c r="D36" s="83">
        <v>0.40972222222222227</v>
      </c>
      <c r="E36" s="84"/>
      <c r="F36" s="85"/>
    </row>
    <row r="37" spans="1:6" x14ac:dyDescent="0.25">
      <c r="A37" s="111"/>
      <c r="B37" s="113"/>
      <c r="C37" s="77">
        <v>0.41666666666666669</v>
      </c>
      <c r="D37" s="77">
        <v>0.47916666666666669</v>
      </c>
      <c r="E37" s="78"/>
      <c r="F37" s="86"/>
    </row>
    <row r="38" spans="1:6" x14ac:dyDescent="0.25">
      <c r="A38" s="111"/>
      <c r="B38" s="113"/>
      <c r="C38" s="77">
        <v>0.4861111111111111</v>
      </c>
      <c r="D38" s="77">
        <v>0.54861111111111105</v>
      </c>
      <c r="E38" s="78"/>
      <c r="F38" s="86"/>
    </row>
    <row r="39" spans="1:6" x14ac:dyDescent="0.25">
      <c r="A39" s="111"/>
      <c r="B39" s="113"/>
      <c r="C39" s="77">
        <v>0.5625</v>
      </c>
      <c r="D39" s="77">
        <v>0.625</v>
      </c>
      <c r="E39" s="78"/>
      <c r="F39" s="86"/>
    </row>
    <row r="40" spans="1:6" x14ac:dyDescent="0.25">
      <c r="A40" s="111"/>
      <c r="B40" s="113"/>
      <c r="C40" s="77">
        <v>0.63888888888888895</v>
      </c>
      <c r="D40" s="77">
        <v>0.70138888888888884</v>
      </c>
      <c r="E40" s="78"/>
      <c r="F40" s="86"/>
    </row>
    <row r="41" spans="1:6" ht="15.75" thickBot="1" x14ac:dyDescent="0.3">
      <c r="A41" s="112"/>
      <c r="B41" s="114"/>
      <c r="C41" s="87">
        <v>0.70833333333333337</v>
      </c>
      <c r="D41" s="87">
        <v>0.77083333333333337</v>
      </c>
      <c r="E41" s="88"/>
      <c r="F41" s="89"/>
    </row>
    <row r="42" spans="1:6" ht="15.75" thickBot="1" x14ac:dyDescent="0.3">
      <c r="A42" s="73"/>
      <c r="B42" s="73"/>
      <c r="C42" s="73"/>
      <c r="D42" s="73"/>
      <c r="E42" s="73"/>
      <c r="F42" s="73"/>
    </row>
    <row r="43" spans="1:6" ht="15.75" thickBot="1" x14ac:dyDescent="0.3">
      <c r="A43" s="40" t="s">
        <v>85</v>
      </c>
      <c r="B43" s="42" t="s">
        <v>86</v>
      </c>
      <c r="C43" s="42" t="s">
        <v>87</v>
      </c>
      <c r="D43" s="42" t="s">
        <v>88</v>
      </c>
      <c r="E43" s="42" t="s">
        <v>89</v>
      </c>
      <c r="F43" s="41" t="s">
        <v>90</v>
      </c>
    </row>
    <row r="44" spans="1:6" x14ac:dyDescent="0.25">
      <c r="A44" s="110">
        <f>A36+1</f>
        <v>43722</v>
      </c>
      <c r="B44" s="113" t="s">
        <v>101</v>
      </c>
      <c r="C44" s="83">
        <v>0.34722222222222227</v>
      </c>
      <c r="D44" s="83">
        <v>0.40972222222222227</v>
      </c>
      <c r="E44" s="84"/>
      <c r="F44" s="85"/>
    </row>
    <row r="45" spans="1:6" x14ac:dyDescent="0.25">
      <c r="A45" s="111"/>
      <c r="B45" s="113"/>
      <c r="C45" s="77">
        <v>0.41666666666666669</v>
      </c>
      <c r="D45" s="77">
        <v>0.47916666666666669</v>
      </c>
      <c r="E45" s="78"/>
      <c r="F45" s="86"/>
    </row>
    <row r="46" spans="1:6" x14ac:dyDescent="0.25">
      <c r="A46" s="111"/>
      <c r="B46" s="113"/>
      <c r="C46" s="77">
        <v>0.4861111111111111</v>
      </c>
      <c r="D46" s="77">
        <v>0.54861111111111105</v>
      </c>
      <c r="E46" s="78" t="s">
        <v>97</v>
      </c>
      <c r="F46" s="86">
        <v>3302</v>
      </c>
    </row>
    <row r="47" spans="1:6" x14ac:dyDescent="0.25">
      <c r="A47" s="111"/>
      <c r="B47" s="113"/>
      <c r="C47" s="77">
        <v>0.5625</v>
      </c>
      <c r="D47" s="77">
        <v>0.625</v>
      </c>
      <c r="E47" s="78"/>
      <c r="F47" s="86"/>
    </row>
    <row r="48" spans="1:6" x14ac:dyDescent="0.25">
      <c r="A48" s="111"/>
      <c r="B48" s="113"/>
      <c r="C48" s="77">
        <v>0.63888888888888895</v>
      </c>
      <c r="D48" s="77">
        <v>0.70138888888888884</v>
      </c>
      <c r="E48" s="78"/>
      <c r="F48" s="86"/>
    </row>
    <row r="49" spans="1:6" ht="15.75" thickBot="1" x14ac:dyDescent="0.3">
      <c r="A49" s="112"/>
      <c r="B49" s="114"/>
      <c r="C49" s="87">
        <v>0.70833333333333337</v>
      </c>
      <c r="D49" s="87">
        <v>0.77083333333333337</v>
      </c>
      <c r="E49" s="88"/>
      <c r="F49" s="89"/>
    </row>
  </sheetData>
  <mergeCells count="12">
    <mergeCell ref="A28:A33"/>
    <mergeCell ref="B28:B33"/>
    <mergeCell ref="A36:A41"/>
    <mergeCell ref="B36:B41"/>
    <mergeCell ref="A44:A49"/>
    <mergeCell ref="B44:B49"/>
    <mergeCell ref="A4:A9"/>
    <mergeCell ref="B4:B9"/>
    <mergeCell ref="A12:A17"/>
    <mergeCell ref="B12:B17"/>
    <mergeCell ref="A20:A25"/>
    <mergeCell ref="B20:B25"/>
  </mergeCells>
  <pageMargins left="0.7" right="0.7" top="0.75" bottom="0.75" header="0.3" footer="0.3"/>
  <pageSetup paperSize="9" orientation="portrait" r:id="rId1"/>
  <headerFooter>
    <oddFooter>&amp;C03.12.2019 0:47:58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49"/>
  <sheetViews>
    <sheetView workbookViewId="0">
      <selection activeCell="J33" sqref="J33"/>
    </sheetView>
  </sheetViews>
  <sheetFormatPr defaultRowHeight="15" x14ac:dyDescent="0.25"/>
  <cols>
    <col min="1" max="1" width="5.28515625" bestFit="1" customWidth="1"/>
    <col min="2" max="2" width="13.140625" bestFit="1" customWidth="1"/>
    <col min="3" max="3" width="12.7109375" bestFit="1" customWidth="1"/>
    <col min="4" max="4" width="11.85546875" bestFit="1" customWidth="1"/>
    <col min="5" max="5" width="25.28515625" bestFit="1" customWidth="1"/>
    <col min="6" max="6" width="10.85546875" bestFit="1" customWidth="1"/>
  </cols>
  <sheetData>
    <row r="1" spans="1:6" x14ac:dyDescent="0.25">
      <c r="A1" s="90"/>
      <c r="B1" s="90" t="s">
        <v>82</v>
      </c>
      <c r="C1" s="90" t="s">
        <v>83</v>
      </c>
      <c r="D1" s="90"/>
      <c r="E1" s="90"/>
      <c r="F1" s="90"/>
    </row>
    <row r="2" spans="1:6" ht="15.75" thickBot="1" x14ac:dyDescent="0.3">
      <c r="A2" s="90"/>
      <c r="B2" s="90" t="s">
        <v>84</v>
      </c>
      <c r="C2" s="90" t="str">
        <f>IF(MOD(ROUNDUP(DATEDIF("02.09.2019",A4,"d")/7,0),2)=0,"Нечетная","Четная")</f>
        <v>Нечетная</v>
      </c>
      <c r="D2" s="90"/>
      <c r="E2" s="90"/>
      <c r="F2" s="90"/>
    </row>
    <row r="3" spans="1:6" ht="15.75" thickTop="1" x14ac:dyDescent="0.25">
      <c r="A3" s="74" t="s">
        <v>85</v>
      </c>
      <c r="B3" s="75" t="s">
        <v>86</v>
      </c>
      <c r="C3" s="75" t="s">
        <v>87</v>
      </c>
      <c r="D3" s="75" t="s">
        <v>88</v>
      </c>
      <c r="E3" s="75" t="s">
        <v>89</v>
      </c>
      <c r="F3" s="76" t="s">
        <v>90</v>
      </c>
    </row>
    <row r="4" spans="1:6" ht="45" customHeight="1" x14ac:dyDescent="0.25">
      <c r="A4" s="106">
        <v>43724</v>
      </c>
      <c r="B4" s="108" t="s">
        <v>91</v>
      </c>
      <c r="C4" s="77">
        <v>0.34722222222222227</v>
      </c>
      <c r="D4" s="77">
        <v>0.40972222222222227</v>
      </c>
      <c r="E4" s="78"/>
      <c r="F4" s="79"/>
    </row>
    <row r="5" spans="1:6" x14ac:dyDescent="0.25">
      <c r="A5" s="106"/>
      <c r="B5" s="108"/>
      <c r="C5" s="77">
        <v>0.41666666666666669</v>
      </c>
      <c r="D5" s="77">
        <v>0.47916666666666669</v>
      </c>
      <c r="E5" s="78" t="str">
        <f>IF($C$2 = "Нечетная","Программирование (лаб.)","ОПД (лаб)")</f>
        <v>Программирование (лаб.)</v>
      </c>
      <c r="F5" s="79" t="str">
        <f>IF($C$2 = "Нечетная","371","372")</f>
        <v>371</v>
      </c>
    </row>
    <row r="6" spans="1:6" x14ac:dyDescent="0.25">
      <c r="A6" s="106"/>
      <c r="B6" s="108"/>
      <c r="C6" s="77">
        <v>0.4861111111111111</v>
      </c>
      <c r="D6" s="77">
        <v>0.54861111111111105</v>
      </c>
      <c r="E6" s="78" t="str">
        <f>IF($C$2 = "Нечетная","Программирование (лаб.)","ОПД (лаб)")</f>
        <v>Программирование (лаб.)</v>
      </c>
      <c r="F6" s="79" t="str">
        <f>IF($C$2 = "Нечетная","371","372")</f>
        <v>371</v>
      </c>
    </row>
    <row r="7" spans="1:6" x14ac:dyDescent="0.25">
      <c r="A7" s="106"/>
      <c r="B7" s="108"/>
      <c r="C7" s="77">
        <v>0.5625</v>
      </c>
      <c r="D7" s="77">
        <v>0.625</v>
      </c>
      <c r="E7" s="78" t="str">
        <f>IF($C$2 = "Нечетная","Дискретная математика(прак.)","Информатика (лаб.)")</f>
        <v>Дискретная математика(прак.)</v>
      </c>
      <c r="F7" s="79" t="str">
        <f>IF($C$2 = "Нечетная","369а","304")</f>
        <v>369а</v>
      </c>
    </row>
    <row r="8" spans="1:6" x14ac:dyDescent="0.25">
      <c r="A8" s="106"/>
      <c r="B8" s="108"/>
      <c r="C8" s="77">
        <v>0.63888888888888895</v>
      </c>
      <c r="D8" s="77">
        <v>0.70138888888888884</v>
      </c>
      <c r="E8" s="78" t="str">
        <f>IF($C$2 = "Нечетная","Дискретная математика(прак.)","Информатика (лаб.)")</f>
        <v>Дискретная математика(прак.)</v>
      </c>
      <c r="F8" s="79" t="str">
        <f>IF($C$2 = "Нечетная","369а","304")</f>
        <v>369а</v>
      </c>
    </row>
    <row r="9" spans="1:6" ht="15.75" thickBot="1" x14ac:dyDescent="0.3">
      <c r="A9" s="107"/>
      <c r="B9" s="109"/>
      <c r="C9" s="80">
        <v>0.70833333333333337</v>
      </c>
      <c r="D9" s="80">
        <v>0.77083333333333337</v>
      </c>
      <c r="E9" s="81"/>
      <c r="F9" s="82"/>
    </row>
    <row r="10" spans="1:6" ht="16.5" thickTop="1" thickBot="1" x14ac:dyDescent="0.3">
      <c r="A10" s="90"/>
      <c r="B10" s="90"/>
      <c r="C10" s="90"/>
      <c r="D10" s="90"/>
      <c r="E10" s="90"/>
      <c r="F10" s="90"/>
    </row>
    <row r="11" spans="1:6" ht="15.75" thickBot="1" x14ac:dyDescent="0.3">
      <c r="A11" s="40" t="s">
        <v>85</v>
      </c>
      <c r="B11" s="42" t="s">
        <v>86</v>
      </c>
      <c r="C11" s="42" t="s">
        <v>87</v>
      </c>
      <c r="D11" s="42" t="s">
        <v>88</v>
      </c>
      <c r="E11" s="42" t="s">
        <v>89</v>
      </c>
      <c r="F11" s="41" t="s">
        <v>90</v>
      </c>
    </row>
    <row r="12" spans="1:6" x14ac:dyDescent="0.25">
      <c r="A12" s="110">
        <f>A4+1</f>
        <v>43725</v>
      </c>
      <c r="B12" s="113" t="s">
        <v>92</v>
      </c>
      <c r="C12" s="83">
        <v>0.34722222222222227</v>
      </c>
      <c r="D12" s="83">
        <v>0.40972222222222227</v>
      </c>
      <c r="E12" s="84"/>
      <c r="F12" s="85"/>
    </row>
    <row r="13" spans="1:6" x14ac:dyDescent="0.25">
      <c r="A13" s="111"/>
      <c r="B13" s="113"/>
      <c r="C13" s="77">
        <v>0.41666666666666669</v>
      </c>
      <c r="D13" s="77">
        <v>0.47916666666666669</v>
      </c>
      <c r="E13" s="78"/>
      <c r="F13" s="86"/>
    </row>
    <row r="14" spans="1:6" x14ac:dyDescent="0.25">
      <c r="A14" s="111"/>
      <c r="B14" s="113"/>
      <c r="C14" s="77">
        <v>0.4861111111111111</v>
      </c>
      <c r="D14" s="77">
        <v>0.54861111111111105</v>
      </c>
      <c r="E14" s="78" t="s">
        <v>93</v>
      </c>
      <c r="F14" s="86">
        <v>550</v>
      </c>
    </row>
    <row r="15" spans="1:6" x14ac:dyDescent="0.25">
      <c r="A15" s="111"/>
      <c r="B15" s="113"/>
      <c r="C15" s="77">
        <v>0.5625</v>
      </c>
      <c r="D15" s="77">
        <v>0.625</v>
      </c>
      <c r="E15" s="78"/>
      <c r="F15" s="86"/>
    </row>
    <row r="16" spans="1:6" x14ac:dyDescent="0.25">
      <c r="A16" s="111"/>
      <c r="B16" s="113"/>
      <c r="C16" s="77">
        <v>0.63888888888888895</v>
      </c>
      <c r="D16" s="77">
        <v>0.70138888888888884</v>
      </c>
      <c r="E16" s="78" t="s">
        <v>94</v>
      </c>
      <c r="F16" s="86">
        <v>535</v>
      </c>
    </row>
    <row r="17" spans="1:6" ht="15.75" thickBot="1" x14ac:dyDescent="0.3">
      <c r="A17" s="112"/>
      <c r="B17" s="114"/>
      <c r="C17" s="87">
        <v>0.70833333333333337</v>
      </c>
      <c r="D17" s="87">
        <v>0.77083333333333337</v>
      </c>
      <c r="E17" s="88"/>
      <c r="F17" s="89"/>
    </row>
    <row r="18" spans="1:6" ht="15.75" thickBot="1" x14ac:dyDescent="0.3">
      <c r="A18" s="90"/>
      <c r="B18" s="90"/>
      <c r="C18" s="90"/>
      <c r="D18" s="90"/>
      <c r="E18" s="90"/>
      <c r="F18" s="90"/>
    </row>
    <row r="19" spans="1:6" ht="15.75" thickBot="1" x14ac:dyDescent="0.3">
      <c r="A19" s="40" t="s">
        <v>85</v>
      </c>
      <c r="B19" s="42" t="s">
        <v>86</v>
      </c>
      <c r="C19" s="42" t="s">
        <v>87</v>
      </c>
      <c r="D19" s="42" t="s">
        <v>88</v>
      </c>
      <c r="E19" s="42" t="s">
        <v>89</v>
      </c>
      <c r="F19" s="41" t="s">
        <v>90</v>
      </c>
    </row>
    <row r="20" spans="1:6" x14ac:dyDescent="0.25">
      <c r="A20" s="110">
        <f>A12+1</f>
        <v>43726</v>
      </c>
      <c r="B20" s="113" t="s">
        <v>95</v>
      </c>
      <c r="C20" s="83">
        <v>0.34722222222222227</v>
      </c>
      <c r="D20" s="83">
        <v>0.40972222222222227</v>
      </c>
      <c r="E20" s="84"/>
      <c r="F20" s="85"/>
    </row>
    <row r="21" spans="1:6" x14ac:dyDescent="0.25">
      <c r="A21" s="111"/>
      <c r="B21" s="113"/>
      <c r="C21" s="77">
        <v>0.41666666666666669</v>
      </c>
      <c r="D21" s="77">
        <v>0.47916666666666669</v>
      </c>
      <c r="E21" s="78" t="s">
        <v>96</v>
      </c>
      <c r="F21" s="86">
        <v>4303</v>
      </c>
    </row>
    <row r="22" spans="1:6" x14ac:dyDescent="0.25">
      <c r="A22" s="111"/>
      <c r="B22" s="113"/>
      <c r="C22" s="77">
        <v>0.4861111111111111</v>
      </c>
      <c r="D22" s="77">
        <v>0.54861111111111105</v>
      </c>
      <c r="E22" s="78" t="s">
        <v>97</v>
      </c>
      <c r="F22" s="86">
        <v>3210</v>
      </c>
    </row>
    <row r="23" spans="1:6" x14ac:dyDescent="0.25">
      <c r="A23" s="111"/>
      <c r="B23" s="113"/>
      <c r="C23" s="77">
        <v>0.5625</v>
      </c>
      <c r="D23" s="77">
        <v>0.625</v>
      </c>
      <c r="E23" s="78" t="s">
        <v>98</v>
      </c>
      <c r="F23" s="86">
        <v>3412</v>
      </c>
    </row>
    <row r="24" spans="1:6" x14ac:dyDescent="0.25">
      <c r="A24" s="111"/>
      <c r="B24" s="113"/>
      <c r="C24" s="77">
        <v>0.63888888888888895</v>
      </c>
      <c r="D24" s="77">
        <v>0.70138888888888884</v>
      </c>
      <c r="E24" s="78"/>
      <c r="F24" s="86"/>
    </row>
    <row r="25" spans="1:6" ht="15.75" thickBot="1" x14ac:dyDescent="0.3">
      <c r="A25" s="112"/>
      <c r="B25" s="114"/>
      <c r="C25" s="87">
        <v>0.70833333333333337</v>
      </c>
      <c r="D25" s="87">
        <v>0.77083333333333337</v>
      </c>
      <c r="E25" s="88"/>
      <c r="F25" s="89"/>
    </row>
    <row r="26" spans="1:6" ht="15.75" thickBot="1" x14ac:dyDescent="0.3">
      <c r="A26" s="90"/>
      <c r="B26" s="90"/>
      <c r="C26" s="90"/>
      <c r="D26" s="90"/>
      <c r="E26" s="90"/>
      <c r="F26" s="90"/>
    </row>
    <row r="27" spans="1:6" ht="15.75" thickBot="1" x14ac:dyDescent="0.3">
      <c r="A27" s="40" t="s">
        <v>85</v>
      </c>
      <c r="B27" s="42" t="s">
        <v>86</v>
      </c>
      <c r="C27" s="42" t="s">
        <v>87</v>
      </c>
      <c r="D27" s="42" t="s">
        <v>88</v>
      </c>
      <c r="E27" s="42" t="s">
        <v>89</v>
      </c>
      <c r="F27" s="41" t="s">
        <v>90</v>
      </c>
    </row>
    <row r="28" spans="1:6" x14ac:dyDescent="0.25">
      <c r="A28" s="110">
        <f>A20+1</f>
        <v>43727</v>
      </c>
      <c r="B28" s="113" t="s">
        <v>99</v>
      </c>
      <c r="C28" s="83">
        <v>0.34722222222222227</v>
      </c>
      <c r="D28" s="83">
        <v>0.40972222222222227</v>
      </c>
      <c r="E28" s="84"/>
      <c r="F28" s="85"/>
    </row>
    <row r="29" spans="1:6" x14ac:dyDescent="0.25">
      <c r="A29" s="111"/>
      <c r="B29" s="113"/>
      <c r="C29" s="77">
        <v>0.41666666666666669</v>
      </c>
      <c r="D29" s="77">
        <v>0.47916666666666669</v>
      </c>
      <c r="E29" s="78" t="str">
        <f>IF($C$2 = "Нечетная","Программирование (лек.)","ОПД (лек)")</f>
        <v>Программирование (лек.)</v>
      </c>
      <c r="F29" s="86">
        <v>285</v>
      </c>
    </row>
    <row r="30" spans="1:6" x14ac:dyDescent="0.25">
      <c r="A30" s="111"/>
      <c r="B30" s="113"/>
      <c r="C30" s="77">
        <v>0.4861111111111111</v>
      </c>
      <c r="D30" s="77">
        <v>0.54861111111111105</v>
      </c>
      <c r="E30" s="78" t="str">
        <f>IF($C$2 = "Нечетная","Дискретная математика(лек.)","Информатика (лек.)")</f>
        <v>Дискретная математика(лек.)</v>
      </c>
      <c r="F30" s="86">
        <v>429</v>
      </c>
    </row>
    <row r="31" spans="1:6" x14ac:dyDescent="0.25">
      <c r="A31" s="111"/>
      <c r="B31" s="113"/>
      <c r="C31" s="77">
        <v>0.5625</v>
      </c>
      <c r="D31" s="77">
        <v>0.625</v>
      </c>
      <c r="E31" s="78"/>
      <c r="F31" s="86"/>
    </row>
    <row r="32" spans="1:6" x14ac:dyDescent="0.25">
      <c r="A32" s="111"/>
      <c r="B32" s="113"/>
      <c r="C32" s="77">
        <v>0.63888888888888895</v>
      </c>
      <c r="D32" s="77">
        <v>0.70138888888888884</v>
      </c>
      <c r="E32" s="78"/>
      <c r="F32" s="86"/>
    </row>
    <row r="33" spans="1:6" ht="15.75" thickBot="1" x14ac:dyDescent="0.3">
      <c r="A33" s="112"/>
      <c r="B33" s="114"/>
      <c r="C33" s="87">
        <v>0.70833333333333337</v>
      </c>
      <c r="D33" s="87">
        <v>0.77083333333333337</v>
      </c>
      <c r="E33" s="88"/>
      <c r="F33" s="89"/>
    </row>
    <row r="34" spans="1:6" ht="15.75" thickBot="1" x14ac:dyDescent="0.3">
      <c r="A34" s="90"/>
      <c r="B34" s="90"/>
      <c r="C34" s="90"/>
      <c r="D34" s="90"/>
      <c r="E34" s="90"/>
      <c r="F34" s="90"/>
    </row>
    <row r="35" spans="1:6" ht="15.75" thickBot="1" x14ac:dyDescent="0.3">
      <c r="A35" s="40" t="s">
        <v>85</v>
      </c>
      <c r="B35" s="42" t="s">
        <v>86</v>
      </c>
      <c r="C35" s="42" t="s">
        <v>87</v>
      </c>
      <c r="D35" s="42" t="s">
        <v>88</v>
      </c>
      <c r="E35" s="42" t="s">
        <v>89</v>
      </c>
      <c r="F35" s="41" t="s">
        <v>90</v>
      </c>
    </row>
    <row r="36" spans="1:6" x14ac:dyDescent="0.25">
      <c r="A36" s="110">
        <f>A28+1</f>
        <v>43728</v>
      </c>
      <c r="B36" s="113" t="s">
        <v>100</v>
      </c>
      <c r="C36" s="83">
        <v>0.34722222222222227</v>
      </c>
      <c r="D36" s="83">
        <v>0.40972222222222227</v>
      </c>
      <c r="E36" s="84"/>
      <c r="F36" s="85"/>
    </row>
    <row r="37" spans="1:6" x14ac:dyDescent="0.25">
      <c r="A37" s="111"/>
      <c r="B37" s="113"/>
      <c r="C37" s="77">
        <v>0.41666666666666669</v>
      </c>
      <c r="D37" s="77">
        <v>0.47916666666666669</v>
      </c>
      <c r="E37" s="78"/>
      <c r="F37" s="86"/>
    </row>
    <row r="38" spans="1:6" x14ac:dyDescent="0.25">
      <c r="A38" s="111"/>
      <c r="B38" s="113"/>
      <c r="C38" s="77">
        <v>0.4861111111111111</v>
      </c>
      <c r="D38" s="77">
        <v>0.54861111111111105</v>
      </c>
      <c r="E38" s="78"/>
      <c r="F38" s="86"/>
    </row>
    <row r="39" spans="1:6" x14ac:dyDescent="0.25">
      <c r="A39" s="111"/>
      <c r="B39" s="113"/>
      <c r="C39" s="77">
        <v>0.5625</v>
      </c>
      <c r="D39" s="77">
        <v>0.625</v>
      </c>
      <c r="E39" s="78"/>
      <c r="F39" s="86"/>
    </row>
    <row r="40" spans="1:6" x14ac:dyDescent="0.25">
      <c r="A40" s="111"/>
      <c r="B40" s="113"/>
      <c r="C40" s="77">
        <v>0.63888888888888895</v>
      </c>
      <c r="D40" s="77">
        <v>0.70138888888888884</v>
      </c>
      <c r="E40" s="78"/>
      <c r="F40" s="86"/>
    </row>
    <row r="41" spans="1:6" ht="15.75" thickBot="1" x14ac:dyDescent="0.3">
      <c r="A41" s="112"/>
      <c r="B41" s="114"/>
      <c r="C41" s="87">
        <v>0.70833333333333337</v>
      </c>
      <c r="D41" s="87">
        <v>0.77083333333333337</v>
      </c>
      <c r="E41" s="88"/>
      <c r="F41" s="89"/>
    </row>
    <row r="42" spans="1:6" ht="15.75" thickBot="1" x14ac:dyDescent="0.3">
      <c r="A42" s="90"/>
      <c r="B42" s="90"/>
      <c r="C42" s="90"/>
      <c r="D42" s="90"/>
      <c r="E42" s="90"/>
      <c r="F42" s="90"/>
    </row>
    <row r="43" spans="1:6" ht="15.75" thickBot="1" x14ac:dyDescent="0.3">
      <c r="A43" s="40" t="s">
        <v>85</v>
      </c>
      <c r="B43" s="42" t="s">
        <v>86</v>
      </c>
      <c r="C43" s="42" t="s">
        <v>87</v>
      </c>
      <c r="D43" s="42" t="s">
        <v>88</v>
      </c>
      <c r="E43" s="42" t="s">
        <v>89</v>
      </c>
      <c r="F43" s="41" t="s">
        <v>90</v>
      </c>
    </row>
    <row r="44" spans="1:6" x14ac:dyDescent="0.25">
      <c r="A44" s="110">
        <f>A36+1</f>
        <v>43729</v>
      </c>
      <c r="B44" s="113" t="s">
        <v>101</v>
      </c>
      <c r="C44" s="83">
        <v>0.34722222222222227</v>
      </c>
      <c r="D44" s="83">
        <v>0.40972222222222227</v>
      </c>
      <c r="E44" s="84"/>
      <c r="F44" s="85"/>
    </row>
    <row r="45" spans="1:6" x14ac:dyDescent="0.25">
      <c r="A45" s="111"/>
      <c r="B45" s="113"/>
      <c r="C45" s="77">
        <v>0.41666666666666669</v>
      </c>
      <c r="D45" s="77">
        <v>0.47916666666666669</v>
      </c>
      <c r="E45" s="78"/>
      <c r="F45" s="86"/>
    </row>
    <row r="46" spans="1:6" x14ac:dyDescent="0.25">
      <c r="A46" s="111"/>
      <c r="B46" s="113"/>
      <c r="C46" s="77">
        <v>0.4861111111111111</v>
      </c>
      <c r="D46" s="77">
        <v>0.54861111111111105</v>
      </c>
      <c r="E46" s="78" t="s">
        <v>97</v>
      </c>
      <c r="F46" s="86">
        <v>3302</v>
      </c>
    </row>
    <row r="47" spans="1:6" x14ac:dyDescent="0.25">
      <c r="A47" s="111"/>
      <c r="B47" s="113"/>
      <c r="C47" s="77">
        <v>0.5625</v>
      </c>
      <c r="D47" s="77">
        <v>0.625</v>
      </c>
      <c r="E47" s="78"/>
      <c r="F47" s="86"/>
    </row>
    <row r="48" spans="1:6" x14ac:dyDescent="0.25">
      <c r="A48" s="111"/>
      <c r="B48" s="113"/>
      <c r="C48" s="77">
        <v>0.63888888888888895</v>
      </c>
      <c r="D48" s="77">
        <v>0.70138888888888884</v>
      </c>
      <c r="E48" s="78"/>
      <c r="F48" s="86"/>
    </row>
    <row r="49" spans="1:6" ht="15.75" thickBot="1" x14ac:dyDescent="0.3">
      <c r="A49" s="112"/>
      <c r="B49" s="114"/>
      <c r="C49" s="87">
        <v>0.70833333333333337</v>
      </c>
      <c r="D49" s="87">
        <v>0.77083333333333337</v>
      </c>
      <c r="E49" s="88"/>
      <c r="F49" s="89"/>
    </row>
  </sheetData>
  <mergeCells count="12">
    <mergeCell ref="A28:A33"/>
    <mergeCell ref="B28:B33"/>
    <mergeCell ref="A36:A41"/>
    <mergeCell ref="B36:B41"/>
    <mergeCell ref="A44:A49"/>
    <mergeCell ref="B44:B49"/>
    <mergeCell ref="A4:A9"/>
    <mergeCell ref="B4:B9"/>
    <mergeCell ref="A12:A17"/>
    <mergeCell ref="B12:B17"/>
    <mergeCell ref="A20:A25"/>
    <mergeCell ref="B20:B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А3</vt:lpstr>
      <vt:lpstr>Справочник(лист1)</vt:lpstr>
      <vt:lpstr>Справочник(лист2)</vt:lpstr>
      <vt:lpstr>Справочник(лист3)</vt:lpstr>
      <vt:lpstr>Таблица 1</vt:lpstr>
      <vt:lpstr>Таблица 2</vt:lpstr>
      <vt:lpstr>макрос</vt:lpstr>
      <vt:lpstr>Лист2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PatutinVM</dc:creator>
  <cp:lastModifiedBy>PatutinVM</cp:lastModifiedBy>
  <dcterms:created xsi:type="dcterms:W3CDTF">2019-11-21T08:05:23Z</dcterms:created>
  <dcterms:modified xsi:type="dcterms:W3CDTF">2019-12-16T12:02:20Z</dcterms:modified>
</cp:coreProperties>
</file>